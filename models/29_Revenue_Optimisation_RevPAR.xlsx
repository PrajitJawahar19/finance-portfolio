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enue Optimi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€ #,##0"/>
    <numFmt numFmtId="166" formatCode="#,##0.0;(#,##0.0);&quot;-&quot;"/>
    <numFmt numFmtId="167" formatCode="0.0%;(0.0%);&quot;-&quot;"/>
    <numFmt numFmtId="168" formatCode="0.0&quot;x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00FF"/>
      <sz val="10"/>
    </font>
    <font>
      <name val="Arial"/>
      <b val="1"/>
      <color rgb="001F3A5F"/>
      <sz val="11"/>
    </font>
    <font>
      <name val="Arial"/>
      <b val="1"/>
      <color rgb="00FFFFFF"/>
      <sz val="8.5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6" fontId="12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vertical="center"/>
    </xf>
    <xf numFmtId="164" fontId="13" fillId="2" borderId="1" applyAlignment="1" pivotButton="0" quotePrefix="0" xfId="0">
      <alignment horizontal="right" vertical="center"/>
    </xf>
    <xf numFmtId="165" fontId="13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4" fillId="5" borderId="1" applyAlignment="1" pivotButton="0" quotePrefix="0" xfId="0">
      <alignment horizontal="right" vertical="center"/>
    </xf>
    <xf numFmtId="167" fontId="14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165" fontId="13" fillId="6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8" fontId="12" fillId="4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168" fontId="13" fillId="6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segment (EUR)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'Revenue Optimisation'!$B$9:$B$12</f>
            </numRef>
          </cat>
          <val>
            <numRef>
              <f>'Revenue Optimisation'!$G$9:$G$12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RevPAR vs rate index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6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Optimisation'!$B$28:$B$33</f>
            </numRef>
          </cat>
          <val>
            <numRef>
              <f>'Revenue Optimisation'!$F$28:$F$33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TRAVEL GROUP  ·  Sample Model</t>
        </is>
      </c>
    </row>
    <row r="3" ht="16" customHeight="1">
      <c r="B3" s="2" t="inlineStr">
        <is>
          <t>Illustrative revenue-management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29: Revenue Optimisation — RevPAR, Yield &amp; Price/Mix (Helios Resorts)</t>
        </is>
      </c>
    </row>
    <row r="6" ht="75" customHeight="1">
      <c r="B6" s="3" t="inlineStr">
        <is>
          <t>Purpose</t>
        </is>
      </c>
      <c r="C6" s="4" t="inlineStr">
        <is>
          <t>Maximise revenue from a fixed room inventory: allocate scarce capacity to the highest-value segments (displacement), price with demand elasticity to find the revenue-maximising rate, and track the core revenue-management KPIs (RevPAR, ADR, occupancy, yield).</t>
        </is>
      </c>
    </row>
    <row r="7" ht="45" customHeight="1">
      <c r="B7" s="3" t="inlineStr">
        <is>
          <t>Techniques shown</t>
        </is>
      </c>
      <c r="C7" s="4" t="inlineStr">
        <is>
          <t>Segment-based greedy capacity allocation (displacement) · price elasticity of demand · revenue-maximising rate search · RevPAR / ADR / occupancy / yield KPIs.</t>
        </is>
      </c>
    </row>
    <row r="8" ht="30" customHeight="1">
      <c r="B8" s="3" t="inlineStr">
        <is>
          <t>How to use</t>
        </is>
      </c>
      <c r="C8" s="4" t="inlineStr">
        <is>
          <t>Update the blue segment rates, demand, elasticity and capacity; the optimal allocation, best rate and KPIs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Yellow fill</t>
        </is>
      </c>
      <c r="C14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2" customWidth="1" min="8" max="8"/>
  </cols>
  <sheetData>
    <row r="2" ht="30" customHeight="1">
      <c r="B2" s="1" t="inlineStr">
        <is>
          <t>Helios Resorts — Revenue Optimisation</t>
        </is>
      </c>
    </row>
    <row r="3" ht="16" customHeight="1">
      <c r="B3" s="2" t="inlineStr">
        <is>
          <t>Rooms and EUR. Blue = input. Capacity-constrained, highest-value-first allocation.</t>
        </is>
      </c>
    </row>
    <row r="5">
      <c r="B5" s="9" t="inlineStr">
        <is>
          <t>Available rooms (capacity)</t>
        </is>
      </c>
      <c r="C5" s="10" t="n">
        <v>200</v>
      </c>
    </row>
    <row r="7" ht="20" customHeight="1">
      <c r="B7" s="11" t="inlineStr">
        <is>
          <t>Segment allocation (priority: highest rate first)</t>
        </is>
      </c>
    </row>
    <row r="8" ht="26" customHeight="1">
      <c r="B8" s="12" t="inlineStr">
        <is>
          <t>Segment</t>
        </is>
      </c>
      <c r="C8" s="13" t="inlineStr">
        <is>
          <t>Rate (ADR)</t>
        </is>
      </c>
      <c r="D8" s="13" t="inlineStr">
        <is>
          <t>Demand</t>
        </is>
      </c>
      <c r="E8" s="13" t="inlineStr">
        <is>
          <t>Elasticity</t>
        </is>
      </c>
      <c r="F8" s="13" t="inlineStr">
        <is>
          <t>Rooms sold</t>
        </is>
      </c>
      <c r="G8" s="13" t="inlineStr">
        <is>
          <t>Revenue</t>
        </is>
      </c>
    </row>
    <row r="9">
      <c r="B9" s="14" t="inlineStr">
        <is>
          <t>Transient</t>
        </is>
      </c>
      <c r="C9" s="15" t="n">
        <v>240</v>
      </c>
      <c r="D9" s="16" t="n">
        <v>90</v>
      </c>
      <c r="E9" s="17" t="n">
        <v>-1.3</v>
      </c>
      <c r="F9" s="18">
        <f>MAX(0,MIN(D9,$C$5))</f>
        <v/>
      </c>
      <c r="G9" s="19">
        <f>C9*F9</f>
        <v/>
      </c>
    </row>
    <row r="10">
      <c r="B10" s="14" t="inlineStr">
        <is>
          <t>Corporate</t>
        </is>
      </c>
      <c r="C10" s="15" t="n">
        <v>200</v>
      </c>
      <c r="D10" s="16" t="n">
        <v>60</v>
      </c>
      <c r="E10" s="17" t="n">
        <v>-0.8</v>
      </c>
      <c r="F10" s="18">
        <f>MAX(0,MIN(D10,$C$5-SUM(F9:F9)))</f>
        <v/>
      </c>
      <c r="G10" s="19">
        <f>C10*F10</f>
        <v/>
      </c>
    </row>
    <row r="11">
      <c r="B11" s="14" t="inlineStr">
        <is>
          <t>OTA</t>
        </is>
      </c>
      <c r="C11" s="15" t="n">
        <v>180</v>
      </c>
      <c r="D11" s="16" t="n">
        <v>50</v>
      </c>
      <c r="E11" s="17" t="n">
        <v>-1.9</v>
      </c>
      <c r="F11" s="18">
        <f>MAX(0,MIN(D11,$C$5-SUM(F9:F10)))</f>
        <v/>
      </c>
      <c r="G11" s="19">
        <f>C11*F11</f>
        <v/>
      </c>
    </row>
    <row r="12">
      <c r="B12" s="14" t="inlineStr">
        <is>
          <t>Group</t>
        </is>
      </c>
      <c r="C12" s="15" t="n">
        <v>160</v>
      </c>
      <c r="D12" s="16" t="n">
        <v>70</v>
      </c>
      <c r="E12" s="17" t="n">
        <v>-1.6</v>
      </c>
      <c r="F12" s="18">
        <f>MAX(0,MIN(D12,$C$5-SUM(F9:F11)))</f>
        <v/>
      </c>
      <c r="G12" s="19">
        <f>C12*F12</f>
        <v/>
      </c>
    </row>
    <row r="13">
      <c r="B13" s="20" t="inlineStr">
        <is>
          <t>Total (optimal mix)</t>
        </is>
      </c>
      <c r="C13" s="21" t="n"/>
      <c r="D13" s="22">
        <f>SUM(D9:D12)</f>
        <v/>
      </c>
      <c r="E13" s="21" t="n"/>
      <c r="F13" s="22">
        <f>SUM(F9:F12)</f>
        <v/>
      </c>
      <c r="G13" s="23">
        <f>SUM(G9:G12)</f>
        <v/>
      </c>
    </row>
    <row r="14" ht="20" customHeight="1">
      <c r="B14" s="11" t="inlineStr">
        <is>
          <t>Revenue-management KPIs</t>
        </is>
      </c>
    </row>
    <row r="15">
      <c r="B15" s="24" t="inlineStr">
        <is>
          <t>Total revenue (EUR)</t>
        </is>
      </c>
      <c r="C15" s="25">
        <f>G13</f>
        <v/>
      </c>
    </row>
    <row r="16">
      <c r="B16" s="24" t="inlineStr">
        <is>
          <t>Occupancy</t>
        </is>
      </c>
      <c r="C16" s="26">
        <f>F13/C5</f>
        <v/>
      </c>
    </row>
    <row r="17">
      <c r="B17" s="24" t="inlineStr">
        <is>
          <t>ADR (achieved)</t>
        </is>
      </c>
      <c r="C17" s="25">
        <f>G13/F13</f>
        <v/>
      </c>
    </row>
    <row r="18">
      <c r="B18" s="27" t="inlineStr">
        <is>
          <t>RevPAR</t>
        </is>
      </c>
      <c r="C18" s="28">
        <f>G13/C5</f>
        <v/>
      </c>
    </row>
    <row r="19">
      <c r="B19" s="9" t="inlineStr">
        <is>
          <t>Yield (ADR / highest rate)</t>
        </is>
      </c>
      <c r="C19" s="29">
        <f>C17/MAX(C9:C12)</f>
        <v/>
      </c>
    </row>
    <row r="20">
      <c r="B20" s="9" t="inlineStr">
        <is>
          <t>Displaced demand (rooms turned away)</t>
        </is>
      </c>
      <c r="C20" s="30">
        <f>MAX(0,D13-C5)</f>
        <v/>
      </c>
    </row>
    <row r="22" ht="20" customHeight="1">
      <c r="B22" s="11" t="inlineStr">
        <is>
          <t>Rate optimisation (elasticity of total demand)</t>
        </is>
      </c>
    </row>
    <row r="23">
      <c r="B23" s="9" t="inlineStr">
        <is>
          <t>Blended demand elasticity</t>
        </is>
      </c>
      <c r="C23" s="31" t="n">
        <v>-1.3</v>
      </c>
    </row>
    <row r="24">
      <c r="B24" s="9" t="inlineStr">
        <is>
          <t>Base ADR</t>
        </is>
      </c>
      <c r="C24" s="32" t="n">
        <v>210</v>
      </c>
    </row>
    <row r="25">
      <c r="B25" s="9" t="inlineStr">
        <is>
          <t>Base demand at base ADR (rooms)</t>
        </is>
      </c>
      <c r="C25" s="10" t="n">
        <v>240</v>
      </c>
    </row>
    <row r="27" ht="26" customHeight="1">
      <c r="B27" s="12" t="inlineStr">
        <is>
          <t>Rate index</t>
        </is>
      </c>
      <c r="C27" s="13" t="inlineStr">
        <is>
          <t>ADR</t>
        </is>
      </c>
      <c r="D27" s="13" t="inlineStr">
        <is>
          <t>Demand</t>
        </is>
      </c>
      <c r="E27" s="13" t="inlineStr">
        <is>
          <t>Rooms sold</t>
        </is>
      </c>
      <c r="F27" s="13" t="inlineStr">
        <is>
          <t>RevPAR</t>
        </is>
      </c>
      <c r="G27" s="13" t="inlineStr"/>
    </row>
    <row r="28">
      <c r="B28" s="33" t="n">
        <v>0.8</v>
      </c>
      <c r="C28" s="19">
        <f>$C$24*B28</f>
        <v/>
      </c>
      <c r="D28" s="34">
        <f>$C$25*POWER(B28,$C$23)</f>
        <v/>
      </c>
      <c r="E28" s="18">
        <f>MIN(D28,$C$5)</f>
        <v/>
      </c>
      <c r="F28" s="19">
        <f>C28*E28/$C$5</f>
        <v/>
      </c>
      <c r="G28" s="35" t="n"/>
    </row>
    <row r="29">
      <c r="B29" s="33" t="n">
        <v>0.9</v>
      </c>
      <c r="C29" s="19">
        <f>$C$24*B29</f>
        <v/>
      </c>
      <c r="D29" s="34">
        <f>$C$25*POWER(B29,$C$23)</f>
        <v/>
      </c>
      <c r="E29" s="18">
        <f>MIN(D29,$C$5)</f>
        <v/>
      </c>
      <c r="F29" s="19">
        <f>C29*E29/$C$5</f>
        <v/>
      </c>
      <c r="G29" s="35" t="n"/>
    </row>
    <row r="30">
      <c r="B30" s="33" t="n">
        <v>1</v>
      </c>
      <c r="C30" s="19">
        <f>$C$24*B30</f>
        <v/>
      </c>
      <c r="D30" s="34">
        <f>$C$25*POWER(B30,$C$23)</f>
        <v/>
      </c>
      <c r="E30" s="18">
        <f>MIN(D30,$C$5)</f>
        <v/>
      </c>
      <c r="F30" s="19">
        <f>C30*E30/$C$5</f>
        <v/>
      </c>
      <c r="G30" s="35" t="n"/>
    </row>
    <row r="31">
      <c r="B31" s="33" t="n">
        <v>1.1</v>
      </c>
      <c r="C31" s="19">
        <f>$C$24*B31</f>
        <v/>
      </c>
      <c r="D31" s="34">
        <f>$C$25*POWER(B31,$C$23)</f>
        <v/>
      </c>
      <c r="E31" s="18">
        <f>MIN(D31,$C$5)</f>
        <v/>
      </c>
      <c r="F31" s="19">
        <f>C31*E31/$C$5</f>
        <v/>
      </c>
      <c r="G31" s="35" t="n"/>
    </row>
    <row r="32">
      <c r="B32" s="33" t="n">
        <v>1.2</v>
      </c>
      <c r="C32" s="19">
        <f>$C$24*B32</f>
        <v/>
      </c>
      <c r="D32" s="34">
        <f>$C$25*POWER(B32,$C$23)</f>
        <v/>
      </c>
      <c r="E32" s="18">
        <f>MIN(D32,$C$5)</f>
        <v/>
      </c>
      <c r="F32" s="19">
        <f>C32*E32/$C$5</f>
        <v/>
      </c>
      <c r="G32" s="35" t="n"/>
    </row>
    <row r="33">
      <c r="B33" s="33" t="n">
        <v>1.3</v>
      </c>
      <c r="C33" s="19">
        <f>$C$24*B33</f>
        <v/>
      </c>
      <c r="D33" s="34">
        <f>$C$25*POWER(B33,$C$23)</f>
        <v/>
      </c>
      <c r="E33" s="18">
        <f>MIN(D33,$C$5)</f>
        <v/>
      </c>
      <c r="F33" s="19">
        <f>C33*E33/$C$5</f>
        <v/>
      </c>
      <c r="G33" s="35" t="n"/>
    </row>
    <row r="35">
      <c r="B35" s="27" t="inlineStr">
        <is>
          <t>Revenue-maximising rate index</t>
        </is>
      </c>
      <c r="C35" s="36">
        <f>INDEX(B28:B33,MATCH(MAX(F28:F33),F28:F33,0))</f>
        <v/>
      </c>
    </row>
    <row r="36">
      <c r="B36" s="24" t="inlineStr">
        <is>
          <t>Optimal ADR</t>
        </is>
      </c>
      <c r="C36" s="25">
        <f>$C$24*C35</f>
        <v/>
      </c>
    </row>
    <row r="37">
      <c r="B37" s="24" t="inlineStr">
        <is>
          <t>RevPAR at optimal rate</t>
        </is>
      </c>
      <c r="C37" s="25">
        <f>MAX(F28:F33)</f>
        <v/>
      </c>
    </row>
    <row r="39" ht="20" customHeight="1">
      <c r="B39" s="11" t="inlineStr">
        <is>
          <t>Key insights (auto-generated)</t>
        </is>
      </c>
    </row>
    <row r="40" ht="26" customHeight="1">
      <c r="B40" s="37">
        <f>"With demand ("&amp;TEXT(D13,"#,##0")&amp;" rooms) above the "&amp;TEXT(C5,"#,##0")&amp;"-room capacity, filling highest-value segments first delivers RevPAR of €"&amp;TEXT(C18,"#,##0")&amp;" at "&amp;TEXT(C16,"0%")&amp;" occupancy."</f>
        <v/>
      </c>
    </row>
    <row r="41" ht="26" customHeight="1">
      <c r="B41" s="37">
        <f>"About "&amp;TEXT(C20,"#,##0")&amp;" rooms of demand are displaced; higher-rate segments fill the hotel, so the marginal accepted rate is €"&amp;TEXT(C11,"#,##0")&amp;" (OTA) - the hurdle a group booking must beat."</f>
        <v/>
      </c>
    </row>
    <row r="42" ht="26" customHeight="1">
      <c r="B42" s="37">
        <f>"On price, elasticity points to a revenue-maximising ADR of about €"&amp;TEXT(C36,"#,##0")&amp;", lifting RevPAR toward €"&amp;TEXT(C37,"#,##0")&amp;"."</f>
        <v/>
      </c>
    </row>
  </sheetData>
  <mergeCells count="9">
    <mergeCell ref="B2:G2"/>
    <mergeCell ref="B3:G3"/>
    <mergeCell ref="B7:G7"/>
    <mergeCell ref="B14:C14"/>
    <mergeCell ref="B22:G22"/>
    <mergeCell ref="B39:G39"/>
    <mergeCell ref="B40:G40"/>
    <mergeCell ref="B41:G41"/>
    <mergeCell ref="B42:G4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2026-09-23T12:55:45Z</dcterms:created>
  <dcterms:modified xmlns:dcterms="http://purl.org/dc/terms/" xmlns:xsi="http://www.w3.org/2001/XMLSchema-instance" xsi:type="dcterms:W3CDTF">2026-09-23T12:55:45Z</dcterms:modified>
</cp:coreProperties>
</file>