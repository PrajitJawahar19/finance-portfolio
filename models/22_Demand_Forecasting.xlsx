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b val="1"/>
      <color rgb="00FFFFFF"/>
      <sz val="9"/>
    </font>
    <font>
      <name val="Arial"/>
      <color rgb="00000000"/>
      <sz val="9.5"/>
    </font>
    <font>
      <name val="Arial"/>
      <color rgb="000000FF"/>
      <sz val="9.5"/>
    </font>
    <font>
      <name val="Arial"/>
      <b val="1"/>
      <color rgb="001F3A5F"/>
      <sz val="11"/>
    </font>
    <font>
      <name val="Arial"/>
      <b val="1"/>
      <color rgb="00FFFFFF"/>
      <sz val="10"/>
    </font>
    <font>
      <name val="Arial"/>
      <b val="1"/>
      <color rgb="001F3A5F"/>
      <sz val="9.5"/>
    </font>
    <font>
      <name val="Arial"/>
      <color rgb="00000000"/>
      <sz val="10"/>
    </font>
    <font>
      <name val="Arial"/>
      <b val="1"/>
      <color rgb="00222222"/>
      <sz val="10"/>
    </font>
    <font>
      <name val="Arial"/>
      <color rgb="00333333"/>
      <sz val="9.5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17B890"/>
      </patternFill>
    </fill>
    <fill>
      <patternFill patternType="solid">
        <fgColor rgb="00EAF0F6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/>
    </xf>
    <xf numFmtId="2" fontId="11" fillId="4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3" fontId="11" fillId="4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2" fontId="13" fillId="5" borderId="1" applyAlignment="1" pivotButton="0" quotePrefix="0" xfId="0">
      <alignment horizontal="right" vertical="center"/>
    </xf>
    <xf numFmtId="3" fontId="14" fillId="0" borderId="1" applyAlignment="1" pivotButton="0" quotePrefix="0" xfId="0">
      <alignment horizontal="right" vertical="center"/>
    </xf>
    <xf numFmtId="0" fontId="15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3" fontId="16" fillId="6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vs fitted (24 mo)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'Forecast'!D6</f>
            </strRef>
          </tx>
          <spPr>
            <a:ln xmlns:a="http://schemas.openxmlformats.org/drawingml/2006/main" w="16000">
              <a:solidFill>
                <a:srgbClr val="9AA7B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'Forecast'!$D$7:$D$30</f>
            </numRef>
          </val>
        </ser>
        <ser>
          <idx val="1"/>
          <order val="1"/>
          <tx>
            <strRef>
              <f>'Forecast'!F6</f>
            </strRef>
          </tx>
          <spPr>
            <a:ln xmlns:a="http://schemas.openxmlformats.org/drawingml/2006/main" w="26000">
              <a:solidFill>
                <a:srgbClr val="17B89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'Forecast'!$F$7:$F$30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18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CONSUMER GmbH  ·  Sample Model</t>
        </is>
      </c>
    </row>
    <row r="3" ht="16" customHeight="1">
      <c r="B3" s="2" t="inlineStr">
        <is>
          <t>Illustrative portfolio project. Prepared by Prajit Jawahar</t>
        </is>
      </c>
    </row>
    <row r="5" ht="30" customHeight="1">
      <c r="B5" s="3" t="inlineStr">
        <is>
          <t>Model</t>
        </is>
      </c>
      <c r="C5" s="4" t="inlineStr">
        <is>
          <t>22: Demand Forecasting — Trend &amp; Seasonality</t>
        </is>
      </c>
    </row>
    <row r="6" ht="45" customHeight="1">
      <c r="B6" s="3" t="inlineStr">
        <is>
          <t>Purpose</t>
        </is>
      </c>
      <c r="C6" s="4" t="inlineStr">
        <is>
          <t>Forecast demand from history: fit a linear trend by regression (slope, intercept, R-squared), apply monthly seasonal indices, and project the next twelve months.</t>
        </is>
      </c>
    </row>
    <row r="7" ht="30" customHeight="1">
      <c r="B7" s="3" t="inlineStr">
        <is>
          <t>Techniques shown</t>
        </is>
      </c>
      <c r="C7" s="4" t="inlineStr">
        <is>
          <t>Linear regression trend (SLOPE / INTERCEPT / RSQ) · multiplicative seasonal indices · 12-month forecast · fit quality.</t>
        </is>
      </c>
    </row>
    <row r="8" ht="30" customHeight="1">
      <c r="B8" s="3" t="inlineStr">
        <is>
          <t>How to use</t>
        </is>
      </c>
      <c r="C8" s="4" t="inlineStr">
        <is>
          <t>Change the blue history or seasonal indices; the trend, fit and forecast update.</t>
        </is>
      </c>
    </row>
    <row r="9" ht="30" customHeight="1">
      <c r="B9" s="3" t="inlineStr">
        <is>
          <t>Currency / units</t>
        </is>
      </c>
      <c r="C9" s="4" t="inlineStr">
        <is>
          <t>See each sheet header for units.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>Colour key</t>
        </is>
      </c>
    </row>
    <row r="13">
      <c r="B13" s="6" t="inlineStr">
        <is>
          <t xml:space="preserve">  Blue text</t>
        </is>
      </c>
      <c r="C13" s="7" t="inlineStr">
        <is>
          <t>Hard-coded input / assumption you can change</t>
        </is>
      </c>
    </row>
    <row r="14">
      <c r="B14" s="8" t="inlineStr">
        <is>
          <t xml:space="preserve">  Black text</t>
        </is>
      </c>
      <c r="C14" s="7" t="inlineStr">
        <is>
          <t>Formula, recalculates automatically</t>
        </is>
      </c>
    </row>
    <row r="15">
      <c r="B15" s="9" t="inlineStr">
        <is>
          <t xml:space="preserve">  Green text</t>
        </is>
      </c>
      <c r="C15" s="7" t="inlineStr">
        <is>
          <t>Links to another sheet</t>
        </is>
      </c>
    </row>
    <row r="16">
      <c r="B16" s="10" t="inlineStr">
        <is>
          <t xml:space="preserve">  Yellow fill</t>
        </is>
      </c>
      <c r="C16" s="7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5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2" customWidth="1" min="3" max="3"/>
    <col width="12" customWidth="1" min="4" max="4"/>
    <col width="12" customWidth="1" min="5" max="5"/>
    <col width="13" customWidth="1" min="6" max="6"/>
    <col width="2" customWidth="1" min="7" max="7"/>
    <col width="16" customWidth="1" min="8" max="8"/>
    <col width="12" customWidth="1" min="9" max="9"/>
    <col width="2" customWidth="1" min="10" max="10"/>
  </cols>
  <sheetData>
    <row r="2" ht="30" customHeight="1">
      <c r="B2" s="1" t="inlineStr">
        <is>
          <t>Demand Forecasting — Trend &amp; Seasonality</t>
        </is>
      </c>
    </row>
    <row r="3" ht="16" customHeight="1">
      <c r="B3" s="2" t="inlineStr">
        <is>
          <t>Units. Blue = input.</t>
        </is>
      </c>
    </row>
    <row r="5" ht="20" customHeight="1">
      <c r="B5" s="11" t="inlineStr">
        <is>
          <t>History (24 months) &amp; fitted trend</t>
        </is>
      </c>
      <c r="H5" s="12" t="inlineStr">
        <is>
          <t>Month</t>
        </is>
      </c>
      <c r="I5" s="12" t="inlineStr">
        <is>
          <t>Seasonal idx</t>
        </is>
      </c>
    </row>
    <row r="6" ht="26" customHeight="1">
      <c r="B6" s="13" t="inlineStr">
        <is>
          <t>Month #</t>
        </is>
      </c>
      <c r="C6" s="14" t="inlineStr">
        <is>
          <t>Cal. month</t>
        </is>
      </c>
      <c r="D6" s="14" t="inlineStr">
        <is>
          <t>Actual</t>
        </is>
      </c>
      <c r="E6" s="14" t="inlineStr">
        <is>
          <t>Trend</t>
        </is>
      </c>
      <c r="F6" s="14" t="inlineStr">
        <is>
          <t>Fitted</t>
        </is>
      </c>
      <c r="H6" s="15" t="inlineStr">
        <is>
          <t>Jan</t>
        </is>
      </c>
      <c r="I6" s="16" t="n">
        <v>0.9</v>
      </c>
    </row>
    <row r="7">
      <c r="B7" s="17" t="n">
        <v>1</v>
      </c>
      <c r="C7" s="17" t="n">
        <v>1</v>
      </c>
      <c r="D7" s="18" t="n">
        <v>920</v>
      </c>
      <c r="E7" s="19">
        <f>INTERCEPT(D7:D30,B7:B30)+SLOPE(D7:D30,B7:B30)*B7</f>
        <v/>
      </c>
      <c r="F7" s="19">
        <f>E7*INDEX($I$6:$I$17,C7)</f>
        <v/>
      </c>
      <c r="H7" s="15" t="inlineStr">
        <is>
          <t>Feb</t>
        </is>
      </c>
      <c r="I7" s="16" t="n">
        <v>0.88</v>
      </c>
    </row>
    <row r="8">
      <c r="B8" s="17" t="n">
        <v>2</v>
      </c>
      <c r="C8" s="17" t="n">
        <v>2</v>
      </c>
      <c r="D8" s="18" t="n">
        <v>900</v>
      </c>
      <c r="E8" s="19">
        <f>INTERCEPT(D7:D30,B7:B30)+SLOPE(D7:D30,B7:B30)*B8</f>
        <v/>
      </c>
      <c r="F8" s="19">
        <f>E8*INDEX($I$6:$I$17,C8)</f>
        <v/>
      </c>
      <c r="H8" s="15" t="inlineStr">
        <is>
          <t>Mar</t>
        </is>
      </c>
      <c r="I8" s="16" t="n">
        <v>0.98</v>
      </c>
    </row>
    <row r="9">
      <c r="B9" s="17" t="n">
        <v>3</v>
      </c>
      <c r="C9" s="17" t="n">
        <v>3</v>
      </c>
      <c r="D9" s="18" t="n">
        <v>1010</v>
      </c>
      <c r="E9" s="19">
        <f>INTERCEPT(D7:D30,B7:B30)+SLOPE(D7:D30,B7:B30)*B9</f>
        <v/>
      </c>
      <c r="F9" s="19">
        <f>E9*INDEX($I$6:$I$17,C9)</f>
        <v/>
      </c>
      <c r="H9" s="15" t="inlineStr">
        <is>
          <t>Apr</t>
        </is>
      </c>
      <c r="I9" s="16" t="n">
        <v>1</v>
      </c>
    </row>
    <row r="10">
      <c r="B10" s="17" t="n">
        <v>4</v>
      </c>
      <c r="C10" s="17" t="n">
        <v>4</v>
      </c>
      <c r="D10" s="18" t="n">
        <v>1040</v>
      </c>
      <c r="E10" s="19">
        <f>INTERCEPT(D7:D30,B7:B30)+SLOPE(D7:D30,B7:B30)*B10</f>
        <v/>
      </c>
      <c r="F10" s="19">
        <f>E10*INDEX($I$6:$I$17,C10)</f>
        <v/>
      </c>
      <c r="H10" s="15" t="inlineStr">
        <is>
          <t>May</t>
        </is>
      </c>
      <c r="I10" s="16" t="n">
        <v>1.02</v>
      </c>
    </row>
    <row r="11">
      <c r="B11" s="17" t="n">
        <v>5</v>
      </c>
      <c r="C11" s="17" t="n">
        <v>5</v>
      </c>
      <c r="D11" s="18" t="n">
        <v>1080</v>
      </c>
      <c r="E11" s="19">
        <f>INTERCEPT(D7:D30,B7:B30)+SLOPE(D7:D30,B7:B30)*B11</f>
        <v/>
      </c>
      <c r="F11" s="19">
        <f>E11*INDEX($I$6:$I$17,C11)</f>
        <v/>
      </c>
      <c r="H11" s="15" t="inlineStr">
        <is>
          <t>Jun</t>
        </is>
      </c>
      <c r="I11" s="16" t="n">
        <v>1.03</v>
      </c>
    </row>
    <row r="12">
      <c r="B12" s="17" t="n">
        <v>6</v>
      </c>
      <c r="C12" s="17" t="n">
        <v>6</v>
      </c>
      <c r="D12" s="18" t="n">
        <v>1100</v>
      </c>
      <c r="E12" s="19">
        <f>INTERCEPT(D7:D30,B7:B30)+SLOPE(D7:D30,B7:B30)*B12</f>
        <v/>
      </c>
      <c r="F12" s="19">
        <f>E12*INDEX($I$6:$I$17,C12)</f>
        <v/>
      </c>
      <c r="H12" s="15" t="inlineStr">
        <is>
          <t>Jul</t>
        </is>
      </c>
      <c r="I12" s="16" t="n">
        <v>0.97</v>
      </c>
    </row>
    <row r="13">
      <c r="B13" s="17" t="n">
        <v>7</v>
      </c>
      <c r="C13" s="17" t="n">
        <v>7</v>
      </c>
      <c r="D13" s="18" t="n">
        <v>1040</v>
      </c>
      <c r="E13" s="19">
        <f>INTERCEPT(D7:D30,B7:B30)+SLOPE(D7:D30,B7:B30)*B13</f>
        <v/>
      </c>
      <c r="F13" s="19">
        <f>E13*INDEX($I$6:$I$17,C13)</f>
        <v/>
      </c>
      <c r="H13" s="15" t="inlineStr">
        <is>
          <t>Aug</t>
        </is>
      </c>
      <c r="I13" s="16" t="n">
        <v>0.96</v>
      </c>
    </row>
    <row r="14">
      <c r="B14" s="17" t="n">
        <v>8</v>
      </c>
      <c r="C14" s="17" t="n">
        <v>8</v>
      </c>
      <c r="D14" s="18" t="n">
        <v>1030</v>
      </c>
      <c r="E14" s="19">
        <f>INTERCEPT(D7:D30,B7:B30)+SLOPE(D7:D30,B7:B30)*B14</f>
        <v/>
      </c>
      <c r="F14" s="19">
        <f>E14*INDEX($I$6:$I$17,C14)</f>
        <v/>
      </c>
      <c r="H14" s="15" t="inlineStr">
        <is>
          <t>Sep</t>
        </is>
      </c>
      <c r="I14" s="16" t="n">
        <v>1.02</v>
      </c>
    </row>
    <row r="15">
      <c r="B15" s="17" t="n">
        <v>9</v>
      </c>
      <c r="C15" s="17" t="n">
        <v>9</v>
      </c>
      <c r="D15" s="18" t="n">
        <v>1110</v>
      </c>
      <c r="E15" s="19">
        <f>INTERCEPT(D7:D30,B7:B30)+SLOPE(D7:D30,B7:B30)*B15</f>
        <v/>
      </c>
      <c r="F15" s="19">
        <f>E15*INDEX($I$6:$I$17,C15)</f>
        <v/>
      </c>
      <c r="H15" s="15" t="inlineStr">
        <is>
          <t>Oct</t>
        </is>
      </c>
      <c r="I15" s="16" t="n">
        <v>1.05</v>
      </c>
    </row>
    <row r="16">
      <c r="B16" s="17" t="n">
        <v>10</v>
      </c>
      <c r="C16" s="17" t="n">
        <v>10</v>
      </c>
      <c r="D16" s="18" t="n">
        <v>1160</v>
      </c>
      <c r="E16" s="19">
        <f>INTERCEPT(D7:D30,B7:B30)+SLOPE(D7:D30,B7:B30)*B16</f>
        <v/>
      </c>
      <c r="F16" s="19">
        <f>E16*INDEX($I$6:$I$17,C16)</f>
        <v/>
      </c>
      <c r="H16" s="15" t="inlineStr">
        <is>
          <t>Nov</t>
        </is>
      </c>
      <c r="I16" s="16" t="n">
        <v>1.08</v>
      </c>
    </row>
    <row r="17">
      <c r="B17" s="17" t="n">
        <v>11</v>
      </c>
      <c r="C17" s="17" t="n">
        <v>11</v>
      </c>
      <c r="D17" s="18" t="n">
        <v>1210</v>
      </c>
      <c r="E17" s="19">
        <f>INTERCEPT(D7:D30,B7:B30)+SLOPE(D7:D30,B7:B30)*B17</f>
        <v/>
      </c>
      <c r="F17" s="19">
        <f>E17*INDEX($I$6:$I$17,C17)</f>
        <v/>
      </c>
      <c r="H17" s="15" t="inlineStr">
        <is>
          <t>Dec</t>
        </is>
      </c>
      <c r="I17" s="16" t="n">
        <v>1.11</v>
      </c>
    </row>
    <row r="18">
      <c r="B18" s="17" t="n">
        <v>12</v>
      </c>
      <c r="C18" s="17" t="n">
        <v>12</v>
      </c>
      <c r="D18" s="18" t="n">
        <v>1260</v>
      </c>
      <c r="E18" s="19">
        <f>INTERCEPT(D7:D30,B7:B30)+SLOPE(D7:D30,B7:B30)*B18</f>
        <v/>
      </c>
      <c r="F18" s="19">
        <f>E18*INDEX($I$6:$I$17,C18)</f>
        <v/>
      </c>
    </row>
    <row r="19">
      <c r="B19" s="17" t="n">
        <v>13</v>
      </c>
      <c r="C19" s="17" t="n">
        <v>1</v>
      </c>
      <c r="D19" s="18" t="n">
        <v>1010</v>
      </c>
      <c r="E19" s="19">
        <f>INTERCEPT(D7:D30,B7:B30)+SLOPE(D7:D30,B7:B30)*B19</f>
        <v/>
      </c>
      <c r="F19" s="19">
        <f>E19*INDEX($I$6:$I$17,C19)</f>
        <v/>
      </c>
    </row>
    <row r="20">
      <c r="B20" s="17" t="n">
        <v>14</v>
      </c>
      <c r="C20" s="17" t="n">
        <v>2</v>
      </c>
      <c r="D20" s="18" t="n">
        <v>995</v>
      </c>
      <c r="E20" s="19">
        <f>INTERCEPT(D7:D30,B7:B30)+SLOPE(D7:D30,B7:B30)*B20</f>
        <v/>
      </c>
      <c r="F20" s="19">
        <f>E20*INDEX($I$6:$I$17,C20)</f>
        <v/>
      </c>
    </row>
    <row r="21">
      <c r="B21" s="17" t="n">
        <v>15</v>
      </c>
      <c r="C21" s="17" t="n">
        <v>3</v>
      </c>
      <c r="D21" s="18" t="n">
        <v>1120</v>
      </c>
      <c r="E21" s="19">
        <f>INTERCEPT(D7:D30,B7:B30)+SLOPE(D7:D30,B7:B30)*B21</f>
        <v/>
      </c>
      <c r="F21" s="19">
        <f>E21*INDEX($I$6:$I$17,C21)</f>
        <v/>
      </c>
    </row>
    <row r="22">
      <c r="B22" s="17" t="n">
        <v>16</v>
      </c>
      <c r="C22" s="17" t="n">
        <v>4</v>
      </c>
      <c r="D22" s="18" t="n">
        <v>1150</v>
      </c>
      <c r="E22" s="19">
        <f>INTERCEPT(D7:D30,B7:B30)+SLOPE(D7:D30,B7:B30)*B22</f>
        <v/>
      </c>
      <c r="F22" s="19">
        <f>E22*INDEX($I$6:$I$17,C22)</f>
        <v/>
      </c>
    </row>
    <row r="23">
      <c r="B23" s="17" t="n">
        <v>17</v>
      </c>
      <c r="C23" s="17" t="n">
        <v>5</v>
      </c>
      <c r="D23" s="18" t="n">
        <v>1200</v>
      </c>
      <c r="E23" s="19">
        <f>INTERCEPT(D7:D30,B7:B30)+SLOPE(D7:D30,B7:B30)*B23</f>
        <v/>
      </c>
      <c r="F23" s="19">
        <f>E23*INDEX($I$6:$I$17,C23)</f>
        <v/>
      </c>
    </row>
    <row r="24">
      <c r="B24" s="17" t="n">
        <v>18</v>
      </c>
      <c r="C24" s="17" t="n">
        <v>6</v>
      </c>
      <c r="D24" s="18" t="n">
        <v>1220</v>
      </c>
      <c r="E24" s="19">
        <f>INTERCEPT(D7:D30,B7:B30)+SLOPE(D7:D30,B7:B30)*B24</f>
        <v/>
      </c>
      <c r="F24" s="19">
        <f>E24*INDEX($I$6:$I$17,C24)</f>
        <v/>
      </c>
    </row>
    <row r="25">
      <c r="B25" s="17" t="n">
        <v>19</v>
      </c>
      <c r="C25" s="17" t="n">
        <v>7</v>
      </c>
      <c r="D25" s="18" t="n">
        <v>1150</v>
      </c>
      <c r="E25" s="19">
        <f>INTERCEPT(D7:D30,B7:B30)+SLOPE(D7:D30,B7:B30)*B25</f>
        <v/>
      </c>
      <c r="F25" s="19">
        <f>E25*INDEX($I$6:$I$17,C25)</f>
        <v/>
      </c>
    </row>
    <row r="26">
      <c r="B26" s="17" t="n">
        <v>20</v>
      </c>
      <c r="C26" s="17" t="n">
        <v>8</v>
      </c>
      <c r="D26" s="18" t="n">
        <v>1140</v>
      </c>
      <c r="E26" s="19">
        <f>INTERCEPT(D7:D30,B7:B30)+SLOPE(D7:D30,B7:B30)*B26</f>
        <v/>
      </c>
      <c r="F26" s="19">
        <f>E26*INDEX($I$6:$I$17,C26)</f>
        <v/>
      </c>
    </row>
    <row r="27">
      <c r="B27" s="17" t="n">
        <v>21</v>
      </c>
      <c r="C27" s="17" t="n">
        <v>9</v>
      </c>
      <c r="D27" s="18" t="n">
        <v>1230</v>
      </c>
      <c r="E27" s="19">
        <f>INTERCEPT(D7:D30,B7:B30)+SLOPE(D7:D30,B7:B30)*B27</f>
        <v/>
      </c>
      <c r="F27" s="19">
        <f>E27*INDEX($I$6:$I$17,C27)</f>
        <v/>
      </c>
    </row>
    <row r="28">
      <c r="B28" s="17" t="n">
        <v>22</v>
      </c>
      <c r="C28" s="17" t="n">
        <v>10</v>
      </c>
      <c r="D28" s="18" t="n">
        <v>1280</v>
      </c>
      <c r="E28" s="19">
        <f>INTERCEPT(D7:D30,B7:B30)+SLOPE(D7:D30,B7:B30)*B28</f>
        <v/>
      </c>
      <c r="F28" s="19">
        <f>E28*INDEX($I$6:$I$17,C28)</f>
        <v/>
      </c>
    </row>
    <row r="29">
      <c r="B29" s="17" t="n">
        <v>23</v>
      </c>
      <c r="C29" s="17" t="n">
        <v>11</v>
      </c>
      <c r="D29" s="18" t="n">
        <v>1340</v>
      </c>
      <c r="E29" s="19">
        <f>INTERCEPT(D7:D30,B7:B30)+SLOPE(D7:D30,B7:B30)*B29</f>
        <v/>
      </c>
      <c r="F29" s="19">
        <f>E29*INDEX($I$6:$I$17,C29)</f>
        <v/>
      </c>
    </row>
    <row r="30">
      <c r="B30" s="17" t="n">
        <v>24</v>
      </c>
      <c r="C30" s="17" t="n">
        <v>12</v>
      </c>
      <c r="D30" s="18" t="n">
        <v>1400</v>
      </c>
      <c r="E30" s="19">
        <f>INTERCEPT(D7:D30,B7:B30)+SLOPE(D7:D30,B7:B30)*B30</f>
        <v/>
      </c>
      <c r="F30" s="19">
        <f>E30*INDEX($I$6:$I$17,C30)</f>
        <v/>
      </c>
    </row>
    <row r="32" ht="20" customHeight="1">
      <c r="B32" s="11" t="inlineStr">
        <is>
          <t>Fit quality</t>
        </is>
      </c>
    </row>
    <row r="33">
      <c r="B33" s="20" t="inlineStr">
        <is>
          <t>Trend slope (units/month)</t>
        </is>
      </c>
      <c r="C33" s="21">
        <f>SLOPE(D7:D30,B7:B30)</f>
        <v/>
      </c>
    </row>
    <row r="34">
      <c r="B34" s="20" t="inlineStr">
        <is>
          <t>Intercept</t>
        </is>
      </c>
      <c r="C34" s="21">
        <f>INTERCEPT(D7:D30,B7:B30)</f>
        <v/>
      </c>
    </row>
    <row r="35">
      <c r="B35" s="22" t="inlineStr">
        <is>
          <t>R-squared (trend fit)</t>
        </is>
      </c>
      <c r="C35" s="23">
        <f>RSQ(D7:D30,B7:B30)</f>
        <v/>
      </c>
    </row>
    <row r="37" ht="20" customHeight="1">
      <c r="B37" s="11" t="inlineStr">
        <is>
          <t>12-month forecast</t>
        </is>
      </c>
    </row>
    <row r="38" ht="26" customHeight="1">
      <c r="B38" s="13" t="inlineStr">
        <is>
          <t>Month #</t>
        </is>
      </c>
      <c r="C38" s="14" t="inlineStr">
        <is>
          <t>Cal. month</t>
        </is>
      </c>
      <c r="D38" s="14" t="inlineStr">
        <is>
          <t>Trend</t>
        </is>
      </c>
      <c r="E38" s="14" t="inlineStr">
        <is>
          <t>Forecast</t>
        </is>
      </c>
      <c r="F38" s="14" t="inlineStr"/>
    </row>
    <row r="39">
      <c r="B39" s="17" t="n">
        <v>25</v>
      </c>
      <c r="C39" s="17" t="n">
        <v>1</v>
      </c>
      <c r="D39" s="19">
        <f>INTERCEPT(D7:D30,B7:B30)+SLOPE(D7:D30,B7:B30)*B39</f>
        <v/>
      </c>
      <c r="E39" s="24">
        <f>D39*INDEX($I$6:$I$17,C39)</f>
        <v/>
      </c>
      <c r="F39" s="25" t="n"/>
    </row>
    <row r="40">
      <c r="B40" s="17" t="n">
        <v>26</v>
      </c>
      <c r="C40" s="17" t="n">
        <v>2</v>
      </c>
      <c r="D40" s="19">
        <f>INTERCEPT(D7:D30,B7:B30)+SLOPE(D7:D30,B7:B30)*B40</f>
        <v/>
      </c>
      <c r="E40" s="24">
        <f>D40*INDEX($I$6:$I$17,C40)</f>
        <v/>
      </c>
      <c r="F40" s="25" t="n"/>
    </row>
    <row r="41">
      <c r="B41" s="17" t="n">
        <v>27</v>
      </c>
      <c r="C41" s="17" t="n">
        <v>3</v>
      </c>
      <c r="D41" s="19">
        <f>INTERCEPT(D7:D30,B7:B30)+SLOPE(D7:D30,B7:B30)*B41</f>
        <v/>
      </c>
      <c r="E41" s="24">
        <f>D41*INDEX($I$6:$I$17,C41)</f>
        <v/>
      </c>
      <c r="F41" s="25" t="n"/>
    </row>
    <row r="42">
      <c r="B42" s="17" t="n">
        <v>28</v>
      </c>
      <c r="C42" s="17" t="n">
        <v>4</v>
      </c>
      <c r="D42" s="19">
        <f>INTERCEPT(D7:D30,B7:B30)+SLOPE(D7:D30,B7:B30)*B42</f>
        <v/>
      </c>
      <c r="E42" s="24">
        <f>D42*INDEX($I$6:$I$17,C42)</f>
        <v/>
      </c>
      <c r="F42" s="25" t="n"/>
    </row>
    <row r="43">
      <c r="B43" s="17" t="n">
        <v>29</v>
      </c>
      <c r="C43" s="17" t="n">
        <v>5</v>
      </c>
      <c r="D43" s="19">
        <f>INTERCEPT(D7:D30,B7:B30)+SLOPE(D7:D30,B7:B30)*B43</f>
        <v/>
      </c>
      <c r="E43" s="24">
        <f>D43*INDEX($I$6:$I$17,C43)</f>
        <v/>
      </c>
      <c r="F43" s="25" t="n"/>
    </row>
    <row r="44">
      <c r="B44" s="17" t="n">
        <v>30</v>
      </c>
      <c r="C44" s="17" t="n">
        <v>6</v>
      </c>
      <c r="D44" s="19">
        <f>INTERCEPT(D7:D30,B7:B30)+SLOPE(D7:D30,B7:B30)*B44</f>
        <v/>
      </c>
      <c r="E44" s="24">
        <f>D44*INDEX($I$6:$I$17,C44)</f>
        <v/>
      </c>
      <c r="F44" s="25" t="n"/>
    </row>
    <row r="45">
      <c r="B45" s="17" t="n">
        <v>31</v>
      </c>
      <c r="C45" s="17" t="n">
        <v>7</v>
      </c>
      <c r="D45" s="19">
        <f>INTERCEPT(D7:D30,B7:B30)+SLOPE(D7:D30,B7:B30)*B45</f>
        <v/>
      </c>
      <c r="E45" s="24">
        <f>D45*INDEX($I$6:$I$17,C45)</f>
        <v/>
      </c>
      <c r="F45" s="25" t="n"/>
    </row>
    <row r="46">
      <c r="B46" s="17" t="n">
        <v>32</v>
      </c>
      <c r="C46" s="17" t="n">
        <v>8</v>
      </c>
      <c r="D46" s="19">
        <f>INTERCEPT(D7:D30,B7:B30)+SLOPE(D7:D30,B7:B30)*B46</f>
        <v/>
      </c>
      <c r="E46" s="24">
        <f>D46*INDEX($I$6:$I$17,C46)</f>
        <v/>
      </c>
      <c r="F46" s="25" t="n"/>
    </row>
    <row r="47">
      <c r="B47" s="17" t="n">
        <v>33</v>
      </c>
      <c r="C47" s="17" t="n">
        <v>9</v>
      </c>
      <c r="D47" s="19">
        <f>INTERCEPT(D7:D30,B7:B30)+SLOPE(D7:D30,B7:B30)*B47</f>
        <v/>
      </c>
      <c r="E47" s="24">
        <f>D47*INDEX($I$6:$I$17,C47)</f>
        <v/>
      </c>
      <c r="F47" s="25" t="n"/>
    </row>
    <row r="48">
      <c r="B48" s="17" t="n">
        <v>34</v>
      </c>
      <c r="C48" s="17" t="n">
        <v>10</v>
      </c>
      <c r="D48" s="19">
        <f>INTERCEPT(D7:D30,B7:B30)+SLOPE(D7:D30,B7:B30)*B48</f>
        <v/>
      </c>
      <c r="E48" s="24">
        <f>D48*INDEX($I$6:$I$17,C48)</f>
        <v/>
      </c>
      <c r="F48" s="25" t="n"/>
    </row>
    <row r="49">
      <c r="B49" s="17" t="n">
        <v>35</v>
      </c>
      <c r="C49" s="17" t="n">
        <v>11</v>
      </c>
      <c r="D49" s="19">
        <f>INTERCEPT(D7:D30,B7:B30)+SLOPE(D7:D30,B7:B30)*B49</f>
        <v/>
      </c>
      <c r="E49" s="24">
        <f>D49*INDEX($I$6:$I$17,C49)</f>
        <v/>
      </c>
      <c r="F49" s="25" t="n"/>
    </row>
    <row r="50">
      <c r="B50" s="17" t="n">
        <v>36</v>
      </c>
      <c r="C50" s="17" t="n">
        <v>12</v>
      </c>
      <c r="D50" s="19">
        <f>INTERCEPT(D7:D30,B7:B30)+SLOPE(D7:D30,B7:B30)*B50</f>
        <v/>
      </c>
      <c r="E50" s="24">
        <f>D50*INDEX($I$6:$I$17,C50)</f>
        <v/>
      </c>
      <c r="F50" s="25" t="n"/>
    </row>
    <row r="51">
      <c r="B51" s="26" t="inlineStr">
        <is>
          <t>Total next-12-month forecast (units)</t>
        </is>
      </c>
      <c r="C51" s="27">
        <f>SUM(E39:E50)</f>
        <v/>
      </c>
    </row>
    <row r="53" ht="20" customHeight="1">
      <c r="B53" s="11" t="inlineStr">
        <is>
          <t>Key insight (auto-generated)</t>
        </is>
      </c>
    </row>
    <row r="54" ht="40" customHeight="1">
      <c r="B54" s="28">
        <f>"Demand trends up about "&amp;TEXT(SLOPE(D7:D30,B7:B30),"#,##0")&amp;" units/month (R-squared "&amp;TEXT(RSQ(D7:D30,B7:B30),"0.00")&amp;"); the seasonal model projects "&amp;TEXT(SUM(E39:E50),"#,##0")&amp;" units over the next year, peaking in Q4."</f>
        <v/>
      </c>
    </row>
  </sheetData>
  <mergeCells count="7">
    <mergeCell ref="B2:F2"/>
    <mergeCell ref="B3:F3"/>
    <mergeCell ref="B5:F5"/>
    <mergeCell ref="B32:F32"/>
    <mergeCell ref="B37:F37"/>
    <mergeCell ref="B53:F53"/>
    <mergeCell ref="B54:F5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2026-09-07T20:59:42Z</dcterms:created>
  <dcterms:modified xmlns:dcterms="http://purl.org/dc/terms/" xmlns:xsi="http://www.w3.org/2001/XMLSchema-instance" xsi:type="dcterms:W3CDTF">2026-09-07T20:59:42Z</dcterms:modified>
</cp:coreProperties>
</file>