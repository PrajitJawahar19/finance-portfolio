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h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"/>
    <numFmt numFmtId="165" formatCode="0.0%;(0.0%);&quot;-&quot;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0000FF"/>
      <sz val="9.5"/>
    </font>
    <font>
      <name val="Arial"/>
      <b val="1"/>
      <color rgb="00FFFFFF"/>
      <sz val="10"/>
    </font>
    <font>
      <name val="Arial"/>
      <b val="1"/>
      <color rgb="00FFFFFF"/>
      <sz val="9.5"/>
    </font>
    <font>
      <name val="Arial"/>
      <b val="1"/>
      <color rgb="000000FF"/>
      <sz val="10"/>
    </font>
    <font>
      <name val="Arial"/>
      <b val="1"/>
      <color rgb="00FFFFFF"/>
      <sz val="8.5"/>
    </font>
    <font>
      <name val="Arial"/>
      <color rgb="00000000"/>
      <sz val="9.5"/>
    </font>
    <font>
      <name val="Arial"/>
      <b val="1"/>
      <color rgb="00222222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9" fontId="12" fillId="4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/>
    </xf>
    <xf numFmtId="9" fontId="1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15" fillId="4" borderId="1" applyAlignment="1" pivotButton="0" quotePrefix="0" xfId="0">
      <alignment horizontal="right" vertical="center"/>
    </xf>
    <xf numFmtId="164" fontId="15" fillId="4" borderId="1" applyAlignment="1" pivotButton="0" quotePrefix="0" xfId="0">
      <alignment horizontal="right" vertical="center"/>
    </xf>
    <xf numFmtId="165" fontId="15" fillId="4" borderId="1" applyAlignment="1" pivotButton="0" quotePrefix="0" xfId="0">
      <alignment horizontal="right" vertical="center"/>
    </xf>
    <xf numFmtId="0" fontId="16" fillId="3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3" fontId="17" fillId="0" borderId="1" applyAlignment="1" pivotButton="0" quotePrefix="0" xfId="0">
      <alignment horizontal="right" vertical="center"/>
    </xf>
    <xf numFmtId="164" fontId="17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9" fontId="18" fillId="5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164" fontId="13" fillId="6" borderId="1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retention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'Cohorts'!B13</f>
            </strRef>
          </tx>
          <spPr>
            <a:ln xmlns:a="http://schemas.openxmlformats.org/drawingml/2006/main" w="28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'Cohorts'!$C$6:$H$6</f>
            </numRef>
          </cat>
          <val>
            <numRef>
              <f>'Cohorts'!$C$13:$H$13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20: Cohort &amp; Retention Analysis</t>
        </is>
      </c>
    </row>
    <row r="6" ht="60" customHeight="1">
      <c r="B6" s="3" t="inlineStr">
        <is>
          <t>Purpose</t>
        </is>
      </c>
      <c r="C6" s="4" t="inlineStr">
        <is>
          <t>Track how customers stick around: a monthly cohort retention triangle, the average retention curve across cohorts, and the cumulative revenue (LTV) a cohort generates over its first year.</t>
        </is>
      </c>
    </row>
    <row r="7" ht="30" customHeight="1">
      <c r="B7" s="3" t="inlineStr">
        <is>
          <t>Techniques shown</t>
        </is>
      </c>
      <c r="C7" s="4" t="inlineStr">
        <is>
          <t>Cohort retention triangle · average retention curve · cumulative revenue / LTV build · retention KPIs.</t>
        </is>
      </c>
    </row>
    <row r="8" ht="30" customHeight="1">
      <c r="B8" s="3" t="inlineStr">
        <is>
          <t>How to use</t>
        </is>
      </c>
      <c r="C8" s="4" t="inlineStr">
        <is>
          <t>Change the blue retention percentages, cohort size or revenue-per-user; the average curve, LTV and KPIs update.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" customWidth="1" min="9" max="9"/>
  </cols>
  <sheetData>
    <row r="2" ht="30" customHeight="1">
      <c r="B2" s="1" t="inlineStr">
        <is>
          <t>Cohort &amp; Retention Analysis</t>
        </is>
      </c>
    </row>
    <row r="3" ht="16" customHeight="1">
      <c r="B3" s="2" t="inlineStr">
        <is>
          <t>Retention % by months since signup. Blue = input.</t>
        </is>
      </c>
    </row>
    <row r="5" ht="20" customHeight="1">
      <c r="B5" s="11" t="inlineStr">
        <is>
          <t>Retention triangle (% of cohort still active)</t>
        </is>
      </c>
    </row>
    <row r="6">
      <c r="B6" s="12" t="inlineStr">
        <is>
          <t>Cohort</t>
        </is>
      </c>
      <c r="C6" s="13" t="inlineStr">
        <is>
          <t>M0</t>
        </is>
      </c>
      <c r="D6" s="13" t="inlineStr">
        <is>
          <t>M1</t>
        </is>
      </c>
      <c r="E6" s="13" t="inlineStr">
        <is>
          <t>M2</t>
        </is>
      </c>
      <c r="F6" s="13" t="inlineStr">
        <is>
          <t>M3</t>
        </is>
      </c>
      <c r="G6" s="13" t="inlineStr">
        <is>
          <t>M4</t>
        </is>
      </c>
      <c r="H6" s="13" t="inlineStr">
        <is>
          <t>M5</t>
        </is>
      </c>
    </row>
    <row r="7">
      <c r="B7" s="14" t="inlineStr">
        <is>
          <t>Cohort 1</t>
        </is>
      </c>
      <c r="C7" s="15" t="n">
        <v>1</v>
      </c>
      <c r="D7" s="15" t="n">
        <v>0.62</v>
      </c>
      <c r="E7" s="15" t="n">
        <v>0.5</v>
      </c>
      <c r="F7" s="15" t="n">
        <v>0.44</v>
      </c>
      <c r="G7" s="15" t="n">
        <v>0.4</v>
      </c>
      <c r="H7" s="15" t="n">
        <v>0.37</v>
      </c>
    </row>
    <row r="8">
      <c r="B8" s="14" t="inlineStr">
        <is>
          <t>Cohort 2</t>
        </is>
      </c>
      <c r="C8" s="15" t="n">
        <v>1</v>
      </c>
      <c r="D8" s="15" t="n">
        <v>0.6</v>
      </c>
      <c r="E8" s="15" t="n">
        <v>0.48</v>
      </c>
      <c r="F8" s="15" t="n">
        <v>0.42</v>
      </c>
      <c r="G8" s="15" t="n">
        <v>0.38</v>
      </c>
      <c r="H8" s="15" t="n">
        <v>0.35</v>
      </c>
    </row>
    <row r="9">
      <c r="B9" s="14" t="inlineStr">
        <is>
          <t>Cohort 3</t>
        </is>
      </c>
      <c r="C9" s="15" t="n">
        <v>1</v>
      </c>
      <c r="D9" s="15" t="n">
        <v>0.65</v>
      </c>
      <c r="E9" s="15" t="n">
        <v>0.53</v>
      </c>
      <c r="F9" s="15" t="n">
        <v>0.46</v>
      </c>
      <c r="G9" s="15" t="n">
        <v>0.42</v>
      </c>
      <c r="H9" s="15" t="n">
        <v>0.39</v>
      </c>
    </row>
    <row r="10">
      <c r="B10" s="14" t="inlineStr">
        <is>
          <t>Cohort 4</t>
        </is>
      </c>
      <c r="C10" s="15" t="n">
        <v>1</v>
      </c>
      <c r="D10" s="15" t="n">
        <v>0.58</v>
      </c>
      <c r="E10" s="15" t="n">
        <v>0.47</v>
      </c>
      <c r="F10" s="15" t="n">
        <v>0.41</v>
      </c>
      <c r="G10" s="15" t="n">
        <v>0.37</v>
      </c>
      <c r="H10" s="15" t="n">
        <v>0.34</v>
      </c>
    </row>
    <row r="11">
      <c r="B11" s="14" t="inlineStr">
        <is>
          <t>Cohort 5</t>
        </is>
      </c>
      <c r="C11" s="15" t="n">
        <v>1</v>
      </c>
      <c r="D11" s="15" t="n">
        <v>0.64</v>
      </c>
      <c r="E11" s="15" t="n">
        <v>0.52</v>
      </c>
      <c r="F11" s="15" t="n">
        <v>0.45</v>
      </c>
      <c r="G11" s="15" t="n">
        <v>0.41</v>
      </c>
      <c r="H11" s="15" t="n">
        <v>0.38</v>
      </c>
    </row>
    <row r="12">
      <c r="B12" s="14" t="inlineStr">
        <is>
          <t>Cohort 6</t>
        </is>
      </c>
      <c r="C12" s="15" t="n">
        <v>1</v>
      </c>
      <c r="D12" s="15" t="n">
        <v>0.61</v>
      </c>
      <c r="E12" s="15" t="n">
        <v>0.49</v>
      </c>
      <c r="F12" s="15" t="n">
        <v>0.43</v>
      </c>
      <c r="G12" s="15" t="n">
        <v>0.39</v>
      </c>
      <c r="H12" s="15" t="n">
        <v>0.36</v>
      </c>
    </row>
    <row r="13">
      <c r="B13" s="16" t="inlineStr">
        <is>
          <t>Average</t>
        </is>
      </c>
      <c r="C13" s="17">
        <f>AVERAGE(C7:C12)</f>
        <v/>
      </c>
      <c r="D13" s="17">
        <f>AVERAGE(D7:D12)</f>
        <v/>
      </c>
      <c r="E13" s="17">
        <f>AVERAGE(E7:E12)</f>
        <v/>
      </c>
      <c r="F13" s="17">
        <f>AVERAGE(F7:F12)</f>
        <v/>
      </c>
      <c r="G13" s="17">
        <f>AVERAGE(G7:G12)</f>
        <v/>
      </c>
      <c r="H13" s="17">
        <f>AVERAGE(H7:H12)</f>
        <v/>
      </c>
    </row>
    <row r="15" ht="20" customHeight="1">
      <c r="B15" s="11" t="inlineStr">
        <is>
          <t>LTV build from average curve</t>
        </is>
      </c>
    </row>
    <row r="16">
      <c r="B16" s="18" t="inlineStr">
        <is>
          <t>Cohort size (customers)</t>
        </is>
      </c>
      <c r="C16" s="19" t="n">
        <v>1000</v>
      </c>
    </row>
    <row r="17">
      <c r="B17" s="18" t="inlineStr">
        <is>
          <t>Monthly revenue per active (€)</t>
        </is>
      </c>
      <c r="C17" s="20" t="n">
        <v>45</v>
      </c>
    </row>
    <row r="18">
      <c r="B18" s="18" t="inlineStr">
        <is>
          <t>Gross margin</t>
        </is>
      </c>
      <c r="C18" s="21" t="n">
        <v>0.75</v>
      </c>
    </row>
    <row r="20">
      <c r="B20" s="22" t="inlineStr">
        <is>
          <t>Month</t>
        </is>
      </c>
      <c r="C20" s="22" t="inlineStr">
        <is>
          <t>Retained</t>
        </is>
      </c>
      <c r="D20" s="22" t="inlineStr">
        <is>
          <t>Contribution (€)</t>
        </is>
      </c>
      <c r="E20" s="22" t="inlineStr">
        <is>
          <t>Cumulative (€)</t>
        </is>
      </c>
    </row>
    <row r="21">
      <c r="B21" s="23" t="inlineStr">
        <is>
          <t>M0</t>
        </is>
      </c>
      <c r="C21" s="24">
        <f>$C$16*C13</f>
        <v/>
      </c>
      <c r="D21" s="25">
        <f>C21*$C$17*$C$18</f>
        <v/>
      </c>
      <c r="E21" s="25">
        <f>D21</f>
        <v/>
      </c>
    </row>
    <row r="22">
      <c r="B22" s="23" t="inlineStr">
        <is>
          <t>M1</t>
        </is>
      </c>
      <c r="C22" s="24">
        <f>$C$16*D13</f>
        <v/>
      </c>
      <c r="D22" s="25">
        <f>C22*$C$17*$C$18</f>
        <v/>
      </c>
      <c r="E22" s="25">
        <f>E21+D22</f>
        <v/>
      </c>
    </row>
    <row r="23">
      <c r="B23" s="23" t="inlineStr">
        <is>
          <t>M2</t>
        </is>
      </c>
      <c r="C23" s="24">
        <f>$C$16*E13</f>
        <v/>
      </c>
      <c r="D23" s="25">
        <f>C23*$C$17*$C$18</f>
        <v/>
      </c>
      <c r="E23" s="25">
        <f>E22+D23</f>
        <v/>
      </c>
    </row>
    <row r="24">
      <c r="B24" s="23" t="inlineStr">
        <is>
          <t>M3</t>
        </is>
      </c>
      <c r="C24" s="24">
        <f>$C$16*F13</f>
        <v/>
      </c>
      <c r="D24" s="25">
        <f>C24*$C$17*$C$18</f>
        <v/>
      </c>
      <c r="E24" s="25">
        <f>E23+D24</f>
        <v/>
      </c>
    </row>
    <row r="25">
      <c r="B25" s="23" t="inlineStr">
        <is>
          <t>M4</t>
        </is>
      </c>
      <c r="C25" s="24">
        <f>$C$16*G13</f>
        <v/>
      </c>
      <c r="D25" s="25">
        <f>C25*$C$17*$C$18</f>
        <v/>
      </c>
      <c r="E25" s="25">
        <f>E24+D25</f>
        <v/>
      </c>
    </row>
    <row r="26">
      <c r="B26" s="23" t="inlineStr">
        <is>
          <t>M5</t>
        </is>
      </c>
      <c r="C26" s="24">
        <f>$C$16*H13</f>
        <v/>
      </c>
      <c r="D26" s="25">
        <f>C26*$C$17*$C$18</f>
        <v/>
      </c>
      <c r="E26" s="25">
        <f>E25+D26</f>
        <v/>
      </c>
    </row>
    <row r="28" ht="20" customHeight="1">
      <c r="B28" s="11" t="inlineStr">
        <is>
          <t>KPIs</t>
        </is>
      </c>
    </row>
    <row r="29">
      <c r="B29" s="26" t="inlineStr">
        <is>
          <t>Month-1 retention</t>
        </is>
      </c>
      <c r="C29" s="27">
        <f>D13</f>
        <v/>
      </c>
    </row>
    <row r="30">
      <c r="B30" s="26" t="inlineStr">
        <is>
          <t>Month-5 retention</t>
        </is>
      </c>
      <c r="C30" s="27">
        <f>H13</f>
        <v/>
      </c>
    </row>
    <row r="31">
      <c r="B31" s="28" t="inlineStr">
        <is>
          <t>6-month LTV per customer (€)</t>
        </is>
      </c>
      <c r="C31" s="29">
        <f>E26/C16</f>
        <v/>
      </c>
    </row>
    <row r="33" ht="20" customHeight="1">
      <c r="B33" s="11" t="inlineStr">
        <is>
          <t>Key insight (auto-generated)</t>
        </is>
      </c>
    </row>
    <row r="34" ht="40" customHeight="1">
      <c r="B34" s="30">
        <f>"Retention settles around "&amp;TEXT(H13,"0%")&amp;" by month 5 after an early drop; each cohort is worth about €"&amp;TEXT(E26/C16,"#,##0")&amp;" per customer in the first six months."</f>
        <v/>
      </c>
    </row>
  </sheetData>
  <mergeCells count="7">
    <mergeCell ref="B2:H2"/>
    <mergeCell ref="B3:H3"/>
    <mergeCell ref="B5:H5"/>
    <mergeCell ref="B15:E15"/>
    <mergeCell ref="B28:E28"/>
    <mergeCell ref="B33:E33"/>
    <mergeCell ref="B34:H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2026-09-07T20:59:42Z</dcterms:created>
  <dcterms:modified xmlns:dcterms="http://purl.org/dc/terms/" xmlns:xsi="http://www.w3.org/2001/XMLSchema-instance" xsi:type="dcterms:W3CDTF">2026-09-07T20:59:42Z</dcterms:modified>
</cp:coreProperties>
</file>