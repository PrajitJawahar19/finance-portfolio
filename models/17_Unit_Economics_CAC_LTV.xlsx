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Unit Econom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€ #,##0"/>
    <numFmt numFmtId="165" formatCode="0.0%;(0.0%);&quot;-&quot;"/>
    <numFmt numFmtId="166" formatCode="0.0"/>
    <numFmt numFmtId="167" formatCode="0.0&quot;x&quot;"/>
  </numFmts>
  <fonts count="16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i val="1"/>
      <color rgb="00FFFFFF"/>
      <sz val="9"/>
    </font>
    <font>
      <name val="Arial"/>
      <b val="1"/>
      <color rgb="001F3A5F"/>
      <sz val="10"/>
    </font>
    <font>
      <name val="Arial"/>
      <color rgb="00222222"/>
      <sz val="10"/>
    </font>
    <font>
      <name val="Arial"/>
      <b val="1"/>
      <color rgb="000000FF"/>
      <sz val="9"/>
    </font>
    <font>
      <name val="Arial"/>
      <color rgb="00444444"/>
      <sz val="9"/>
    </font>
    <font>
      <name val="Arial"/>
      <b val="1"/>
      <color rgb="00000000"/>
      <sz val="9"/>
    </font>
    <font>
      <name val="Arial"/>
      <b val="1"/>
      <color rgb="00008000"/>
      <sz val="9"/>
    </font>
    <font>
      <name val="Arial"/>
      <b val="1"/>
      <color rgb="001F3A5F"/>
      <sz val="11"/>
    </font>
    <font>
      <name val="Arial"/>
      <b val="1"/>
      <color rgb="000000FF"/>
      <sz val="10"/>
    </font>
    <font>
      <name val="Arial"/>
      <b val="1"/>
      <color rgb="00222222"/>
      <sz val="10"/>
    </font>
    <font>
      <name val="Arial"/>
      <b val="1"/>
      <color rgb="00FFFFFF"/>
      <sz val="10"/>
    </font>
    <font>
      <name val="Arial"/>
      <b val="1"/>
      <color rgb="00FFFFFF"/>
      <sz val="8.5"/>
    </font>
    <font>
      <name val="Arial"/>
      <color rgb="00000000"/>
      <sz val="9"/>
    </font>
    <font>
      <name val="Arial"/>
      <color rgb="00333333"/>
      <sz val="9.5"/>
    </font>
  </fonts>
  <fills count="7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2E5A88"/>
      </patternFill>
    </fill>
    <fill>
      <patternFill patternType="solid">
        <fgColor rgb="00FFF2CC"/>
      </patternFill>
    </fill>
    <fill>
      <patternFill patternType="solid">
        <fgColor rgb="00EAF0F6"/>
      </patternFill>
    </fill>
    <fill>
      <patternFill patternType="solid">
        <fgColor rgb="0017B890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7" fillId="4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164" fontId="10" fillId="4" borderId="1" applyAlignment="1" pivotButton="0" quotePrefix="0" xfId="0">
      <alignment horizontal="right" vertical="center"/>
    </xf>
    <xf numFmtId="1" fontId="10" fillId="4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164" fontId="11" fillId="5" borderId="1" applyAlignment="1" pivotButton="0" quotePrefix="0" xfId="0">
      <alignment horizontal="right" vertical="center"/>
    </xf>
    <xf numFmtId="165" fontId="10" fillId="4" borderId="1" applyAlignment="1" pivotButton="0" quotePrefix="0" xfId="0">
      <alignment horizontal="right" vertical="center"/>
    </xf>
    <xf numFmtId="166" fontId="4" fillId="0" borderId="1" applyAlignment="1" pivotButton="0" quotePrefix="0" xfId="0">
      <alignment horizontal="right" vertical="center"/>
    </xf>
    <xf numFmtId="0" fontId="12" fillId="6" borderId="1" applyAlignment="1" pivotButton="0" quotePrefix="0" xfId="0">
      <alignment horizontal="left" vertical="center"/>
    </xf>
    <xf numFmtId="167" fontId="12" fillId="6" borderId="1" applyAlignment="1" pivotButton="0" quotePrefix="0" xfId="0">
      <alignment horizontal="right" vertical="center"/>
    </xf>
    <xf numFmtId="166" fontId="11" fillId="5" borderId="1" applyAlignment="1" pivotButton="0" quotePrefix="0" xfId="0">
      <alignment horizontal="right" vertical="center"/>
    </xf>
    <xf numFmtId="0" fontId="11" fillId="5" borderId="1" applyAlignment="1" pivotButton="0" quotePrefix="0" xfId="0">
      <alignment horizontal="right" vertical="center"/>
    </xf>
    <xf numFmtId="0" fontId="15" fillId="0" borderId="0" applyAlignment="1" pivotButton="0" quotePrefix="0" xfId="0">
      <alignment horizontal="left" vertical="center" wrapText="1"/>
    </xf>
    <xf numFmtId="0" fontId="13" fillId="3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center"/>
    </xf>
    <xf numFmtId="166" fontId="14" fillId="0" borderId="1" applyAlignment="1" pivotButton="0" quotePrefix="0" xfId="0">
      <alignment horizontal="right" vertical="center"/>
    </xf>
    <xf numFmtId="164" fontId="14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Cumulative contribution per customer (€)</a:t>
            </a:r>
          </a:p>
        </rich>
      </tx>
    </title>
    <plotArea>
      <lineChart>
        <grouping val="standard"/>
        <ser>
          <idx val="0"/>
          <order val="0"/>
          <tx>
            <strRef>
              <f>'Unit Economics'!G23</f>
            </strRef>
          </tx>
          <spPr>
            <a:ln xmlns:a="http://schemas.openxmlformats.org/drawingml/2006/main" w="26000">
              <a:solidFill>
                <a:srgbClr val="17B89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'Unit Economics'!$E$24:$E$35</f>
            </numRef>
          </cat>
          <val>
            <numRef>
              <f>'Unit Economics'!$G$24:$G$35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36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4" customWidth="1" min="2" max="2"/>
    <col width="60" customWidth="1" min="3" max="3"/>
    <col width="2" customWidth="1" min="4" max="4"/>
  </cols>
  <sheetData>
    <row r="2" ht="30" customHeight="1">
      <c r="B2" s="1" t="inlineStr">
        <is>
          <t>HELIOS CONSUMER GmbH  ·  Sample Model</t>
        </is>
      </c>
    </row>
    <row r="3" ht="16" customHeight="1">
      <c r="B3" s="2" t="inlineStr">
        <is>
          <t>Illustrative portfolio project. Prepared by Prajit Jawahar</t>
        </is>
      </c>
    </row>
    <row r="5" ht="30" customHeight="1">
      <c r="B5" s="3" t="inlineStr">
        <is>
          <t>Model</t>
        </is>
      </c>
      <c r="C5" s="4" t="inlineStr">
        <is>
          <t>17: Unit Economics — CAC, LTV &amp; Payback</t>
        </is>
      </c>
    </row>
    <row r="6" ht="60" customHeight="1">
      <c r="B6" s="3" t="inlineStr">
        <is>
          <t>Purpose</t>
        </is>
      </c>
      <c r="C6" s="4" t="inlineStr">
        <is>
          <t>The economics of acquiring a customer: cost to acquire (CAC), lifetime value (LTV) from margin and churn, the LTV/CAC ratio, and how many months it takes to pay back acquisition cost.</t>
        </is>
      </c>
    </row>
    <row r="7" ht="45" customHeight="1">
      <c r="B7" s="3" t="inlineStr">
        <is>
          <t>Techniques shown</t>
        </is>
      </c>
      <c r="C7" s="4" t="inlineStr">
        <is>
          <t>CAC from spend and new customers · LTV from ARPA, gross margin and churn · LTV/CAC ratio · CAC payback · 12-month contribution curve.</t>
        </is>
      </c>
    </row>
    <row r="8" ht="30" customHeight="1">
      <c r="B8" s="3" t="inlineStr">
        <is>
          <t>How to use</t>
        </is>
      </c>
      <c r="C8" s="4" t="inlineStr">
        <is>
          <t>Change the blue marketing spend, ARPA, margin or churn; CAC, LTV, the ratio and payback update.</t>
        </is>
      </c>
    </row>
    <row r="9" ht="30" customHeight="1">
      <c r="B9" s="3" t="inlineStr">
        <is>
          <t>Currency / units</t>
        </is>
      </c>
      <c r="C9" s="4" t="inlineStr">
        <is>
          <t>See each sheet header for units.</t>
        </is>
      </c>
    </row>
    <row r="10" ht="30" customHeight="1">
      <c r="B10" s="3" t="inlineStr">
        <is>
          <t>Data</t>
        </is>
      </c>
      <c r="C10" s="4" t="inlineStr">
        <is>
          <t>Sample / illustrative figures for a fictional company. Not real financials.</t>
        </is>
      </c>
    </row>
    <row r="12">
      <c r="B12" s="5" t="inlineStr">
        <is>
          <t>Colour key</t>
        </is>
      </c>
    </row>
    <row r="13">
      <c r="B13" s="6" t="inlineStr">
        <is>
          <t xml:space="preserve">  Blue text</t>
        </is>
      </c>
      <c r="C13" s="7" t="inlineStr">
        <is>
          <t>Hard-coded input / assumption you can change</t>
        </is>
      </c>
    </row>
    <row r="14">
      <c r="B14" s="8" t="inlineStr">
        <is>
          <t xml:space="preserve">  Black text</t>
        </is>
      </c>
      <c r="C14" s="7" t="inlineStr">
        <is>
          <t>Formula, recalculates automatically</t>
        </is>
      </c>
    </row>
    <row r="15">
      <c r="B15" s="9" t="inlineStr">
        <is>
          <t xml:space="preserve">  Green text</t>
        </is>
      </c>
      <c r="C15" s="7" t="inlineStr">
        <is>
          <t>Links to another sheet</t>
        </is>
      </c>
    </row>
    <row r="16">
      <c r="B16" s="10" t="inlineStr">
        <is>
          <t xml:space="preserve">  Yellow fill</t>
        </is>
      </c>
      <c r="C16" s="7" t="inlineStr">
        <is>
          <t>Cells intended for you to fill in</t>
        </is>
      </c>
    </row>
  </sheetData>
  <mergeCells count="2">
    <mergeCell ref="B2:C2"/>
    <mergeCell ref="B3:C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G3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6" customWidth="1" min="2" max="2"/>
    <col width="14" customWidth="1" min="3" max="3"/>
    <col width="2" customWidth="1" min="4" max="4"/>
    <col width="10" customWidth="1" min="5" max="5"/>
    <col width="12" customWidth="1" min="6" max="6"/>
    <col width="13" customWidth="1" min="7" max="7"/>
    <col width="2" customWidth="1" min="8" max="8"/>
  </cols>
  <sheetData>
    <row r="2" ht="30" customHeight="1">
      <c r="B2" s="1" t="inlineStr">
        <is>
          <t>Unit Economics — SaaS style</t>
        </is>
      </c>
    </row>
    <row r="3" ht="16" customHeight="1">
      <c r="B3" s="2" t="inlineStr">
        <is>
          <t>€ and months. Blue = input.</t>
        </is>
      </c>
    </row>
    <row r="5" ht="20" customHeight="1">
      <c r="B5" s="11" t="inlineStr">
        <is>
          <t>Acquisition</t>
        </is>
      </c>
    </row>
    <row r="6">
      <c r="B6" s="12" t="inlineStr">
        <is>
          <t>Monthly marketing spend (€)</t>
        </is>
      </c>
      <c r="C6" s="13" t="n">
        <v>60000</v>
      </c>
    </row>
    <row r="7">
      <c r="B7" s="12" t="inlineStr">
        <is>
          <t>New customers per month</t>
        </is>
      </c>
      <c r="C7" s="14" t="n">
        <v>150</v>
      </c>
    </row>
    <row r="8">
      <c r="B8" s="15" t="inlineStr">
        <is>
          <t>CAC — cost per acquisition (€)</t>
        </is>
      </c>
      <c r="C8" s="16">
        <f>C6/C7</f>
        <v/>
      </c>
    </row>
    <row r="10" ht="20" customHeight="1">
      <c r="B10" s="11" t="inlineStr">
        <is>
          <t>Value</t>
        </is>
      </c>
    </row>
    <row r="11">
      <c r="B11" s="12" t="inlineStr">
        <is>
          <t>ARPA — revenue per account / mo (€)</t>
        </is>
      </c>
      <c r="C11" s="13" t="n">
        <v>120</v>
      </c>
    </row>
    <row r="12">
      <c r="B12" s="12" t="inlineStr">
        <is>
          <t>Gross margin</t>
        </is>
      </c>
      <c r="C12" s="17" t="n">
        <v>0.8</v>
      </c>
    </row>
    <row r="13">
      <c r="B13" s="12" t="inlineStr">
        <is>
          <t>Monthly churn</t>
        </is>
      </c>
      <c r="C13" s="17" t="n">
        <v>0.04</v>
      </c>
    </row>
    <row r="14">
      <c r="B14" s="12" t="inlineStr">
        <is>
          <t>Avg customer lifetime (months)</t>
        </is>
      </c>
      <c r="C14" s="18">
        <f>1/C13</f>
        <v/>
      </c>
    </row>
    <row r="15">
      <c r="B15" s="15" t="inlineStr">
        <is>
          <t>LTV — lifetime value (€)</t>
        </is>
      </c>
      <c r="C15" s="16">
        <f>C11*C12*C14</f>
        <v/>
      </c>
    </row>
    <row r="17" ht="20" customHeight="1">
      <c r="B17" s="11" t="inlineStr">
        <is>
          <t>Verdict</t>
        </is>
      </c>
    </row>
    <row r="18">
      <c r="B18" s="19" t="inlineStr">
        <is>
          <t>LTV / CAC ratio</t>
        </is>
      </c>
      <c r="C18" s="20">
        <f>C15/C8</f>
        <v/>
      </c>
    </row>
    <row r="19">
      <c r="B19" s="15" t="inlineStr">
        <is>
          <t>CAC payback (months)</t>
        </is>
      </c>
      <c r="C19" s="21">
        <f>C8/(C11*C12)</f>
        <v/>
      </c>
    </row>
    <row r="20">
      <c r="B20" s="15" t="inlineStr">
        <is>
          <t>Health (LTV/CAC &gt;= 3x)</t>
        </is>
      </c>
      <c r="C20" s="22">
        <f>IF(C18&gt;=3,"HEALTHY","REVIEW")</f>
        <v/>
      </c>
    </row>
    <row r="22" ht="20" customHeight="1">
      <c r="B22" s="11" t="inlineStr">
        <is>
          <t>Key insight (auto-generated)</t>
        </is>
      </c>
    </row>
    <row r="23" ht="54" customHeight="1">
      <c r="B23" s="23">
        <f>"Each customer costs €"&amp;TEXT(C8,"#,##0")&amp;" to acquire and is worth €"&amp;TEXT(C15,"#,##0")&amp;" over their life, an LTV/CAC of "&amp;TEXT(C18,"0.0")&amp;"x that pays back in "&amp;TEXT(C19,"0.0")&amp;" months ("&amp;C20&amp;")."</f>
        <v/>
      </c>
      <c r="E23" s="24" t="inlineStr">
        <is>
          <t>Month</t>
        </is>
      </c>
      <c r="F23" s="24" t="inlineStr">
        <is>
          <t>Retained</t>
        </is>
      </c>
      <c r="G23" s="24" t="inlineStr">
        <is>
          <t>Cum. contrib/cust (€)</t>
        </is>
      </c>
    </row>
    <row r="24">
      <c r="E24" s="25" t="n">
        <v>1</v>
      </c>
      <c r="F24" s="26">
        <f>100*POWER(1-$C$13,0)</f>
        <v/>
      </c>
      <c r="G24" s="27">
        <f>F24*$C$11*$C$12/100</f>
        <v/>
      </c>
    </row>
    <row r="25">
      <c r="E25" s="25" t="n">
        <v>2</v>
      </c>
      <c r="F25" s="26">
        <f>100*POWER(1-$C$13,1)</f>
        <v/>
      </c>
      <c r="G25" s="27">
        <f>G24+F25*$C$11*$C$12/100</f>
        <v/>
      </c>
    </row>
    <row r="26">
      <c r="E26" s="25" t="n">
        <v>3</v>
      </c>
      <c r="F26" s="26">
        <f>100*POWER(1-$C$13,2)</f>
        <v/>
      </c>
      <c r="G26" s="27">
        <f>G25+F26*$C$11*$C$12/100</f>
        <v/>
      </c>
    </row>
    <row r="27">
      <c r="E27" s="25" t="n">
        <v>4</v>
      </c>
      <c r="F27" s="26">
        <f>100*POWER(1-$C$13,3)</f>
        <v/>
      </c>
      <c r="G27" s="27">
        <f>G26+F27*$C$11*$C$12/100</f>
        <v/>
      </c>
    </row>
    <row r="28">
      <c r="E28" s="25" t="n">
        <v>5</v>
      </c>
      <c r="F28" s="26">
        <f>100*POWER(1-$C$13,4)</f>
        <v/>
      </c>
      <c r="G28" s="27">
        <f>G27+F28*$C$11*$C$12/100</f>
        <v/>
      </c>
    </row>
    <row r="29">
      <c r="E29" s="25" t="n">
        <v>6</v>
      </c>
      <c r="F29" s="26">
        <f>100*POWER(1-$C$13,5)</f>
        <v/>
      </c>
      <c r="G29" s="27">
        <f>G28+F29*$C$11*$C$12/100</f>
        <v/>
      </c>
    </row>
    <row r="30">
      <c r="E30" s="25" t="n">
        <v>7</v>
      </c>
      <c r="F30" s="26">
        <f>100*POWER(1-$C$13,6)</f>
        <v/>
      </c>
      <c r="G30" s="27">
        <f>G29+F30*$C$11*$C$12/100</f>
        <v/>
      </c>
    </row>
    <row r="31">
      <c r="E31" s="25" t="n">
        <v>8</v>
      </c>
      <c r="F31" s="26">
        <f>100*POWER(1-$C$13,7)</f>
        <v/>
      </c>
      <c r="G31" s="27">
        <f>G30+F31*$C$11*$C$12/100</f>
        <v/>
      </c>
    </row>
    <row r="32">
      <c r="E32" s="25" t="n">
        <v>9</v>
      </c>
      <c r="F32" s="26">
        <f>100*POWER(1-$C$13,8)</f>
        <v/>
      </c>
      <c r="G32" s="27">
        <f>G31+F32*$C$11*$C$12/100</f>
        <v/>
      </c>
    </row>
    <row r="33">
      <c r="E33" s="25" t="n">
        <v>10</v>
      </c>
      <c r="F33" s="26">
        <f>100*POWER(1-$C$13,9)</f>
        <v/>
      </c>
      <c r="G33" s="27">
        <f>G32+F33*$C$11*$C$12/100</f>
        <v/>
      </c>
    </row>
    <row r="34">
      <c r="E34" s="25" t="n">
        <v>11</v>
      </c>
      <c r="F34" s="26">
        <f>100*POWER(1-$C$13,10)</f>
        <v/>
      </c>
      <c r="G34" s="27">
        <f>G33+F34*$C$11*$C$12/100</f>
        <v/>
      </c>
    </row>
    <row r="35">
      <c r="E35" s="25" t="n">
        <v>12</v>
      </c>
      <c r="F35" s="26">
        <f>100*POWER(1-$C$13,11)</f>
        <v/>
      </c>
      <c r="G35" s="27">
        <f>G34+F35*$C$11*$C$12/100</f>
        <v/>
      </c>
    </row>
  </sheetData>
  <mergeCells count="7">
    <mergeCell ref="B2:C2"/>
    <mergeCell ref="B3:C3"/>
    <mergeCell ref="B5:C5"/>
    <mergeCell ref="B10:C10"/>
    <mergeCell ref="B17:C17"/>
    <mergeCell ref="B22:C22"/>
    <mergeCell ref="B23:C23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2026-09-07T20:59:42Z</dcterms:created>
  <dcterms:modified xmlns:dcterms="http://purl.org/dc/terms/" xmlns:xsi="http://www.w3.org/2001/XMLSchema-instance" xsi:type="dcterms:W3CDTF">2026-09-07T20:59:42Z</dcterms:modified>
</cp:coreProperties>
</file>