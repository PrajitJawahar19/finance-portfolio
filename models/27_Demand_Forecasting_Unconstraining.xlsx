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emand Foreca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(#,##0);&quot;-&quot;"/>
    <numFmt numFmtId="165" formatCode="0.0%;(0.0%);&quot;-&quot;"/>
    <numFmt numFmtId="166" formatCode="0.0&quot;x&quot;"/>
    <numFmt numFmtId="167" formatCode="#,##0.0;(#,##0.0);&quot;-&quot;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9"/>
    </font>
    <font>
      <name val="Arial"/>
      <b val="1"/>
      <color rgb="001F3A5F"/>
      <sz val="10"/>
    </font>
    <font>
      <name val="Arial"/>
      <color rgb="00222222"/>
      <sz val="10"/>
    </font>
    <font>
      <name val="Arial"/>
      <b val="1"/>
      <color rgb="000000FF"/>
      <sz val="9"/>
    </font>
    <font>
      <name val="Arial"/>
      <color rgb="00444444"/>
      <sz val="9"/>
    </font>
    <font>
      <name val="Arial"/>
      <b val="1"/>
      <color rgb="00000000"/>
      <sz val="9"/>
    </font>
    <font>
      <name val="Arial"/>
      <b val="1"/>
      <color rgb="001F3A5F"/>
      <sz val="11"/>
    </font>
    <font>
      <name val="Arial"/>
      <b val="1"/>
      <color rgb="000000FF"/>
      <sz val="10"/>
    </font>
    <font>
      <name val="Arial"/>
      <b val="1"/>
      <color rgb="00FFFFFF"/>
      <sz val="8.5"/>
    </font>
    <font>
      <name val="Arial"/>
      <color rgb="00000000"/>
      <sz val="9.5"/>
    </font>
    <font>
      <name val="Arial"/>
      <color rgb="000000FF"/>
      <sz val="9.5"/>
    </font>
    <font>
      <name val="Arial"/>
      <b val="1"/>
      <color rgb="00222222"/>
      <sz val="10"/>
    </font>
    <font>
      <name val="Arial"/>
      <b val="1"/>
      <color rgb="00FFFFFF"/>
      <sz val="10"/>
    </font>
    <font>
      <name val="Arial"/>
      <color rgb="00333333"/>
      <sz val="9.5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2E5A88"/>
      </patternFill>
    </fill>
    <fill>
      <patternFill patternType="solid">
        <fgColor rgb="00FFF2CC"/>
      </patternFill>
    </fill>
    <fill>
      <patternFill patternType="solid">
        <fgColor rgb="00EAF0F6"/>
      </patternFill>
    </fill>
    <fill>
      <patternFill patternType="solid">
        <fgColor rgb="0017B890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164" fontId="9" fillId="4" borderId="1" applyAlignment="1" pivotButton="0" quotePrefix="0" xfId="0">
      <alignment horizontal="right" vertical="center"/>
    </xf>
    <xf numFmtId="165" fontId="9" fillId="4" borderId="1" applyAlignment="1" pivotButton="0" quotePrefix="0" xfId="0">
      <alignment horizontal="right" vertical="center"/>
    </xf>
    <xf numFmtId="166" fontId="9" fillId="4" borderId="1" applyAlignment="1" pivotButton="0" quotePrefix="0" xfId="0">
      <alignment horizontal="right" vertical="center"/>
    </xf>
    <xf numFmtId="0" fontId="10" fillId="3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/>
    </xf>
    <xf numFmtId="166" fontId="12" fillId="4" borderId="1" applyAlignment="1" pivotButton="0" quotePrefix="0" xfId="0">
      <alignment horizontal="right" vertical="center"/>
    </xf>
    <xf numFmtId="164" fontId="12" fillId="4" borderId="1" applyAlignment="1" pivotButton="0" quotePrefix="0" xfId="0">
      <alignment horizontal="right" vertical="center"/>
    </xf>
    <xf numFmtId="0" fontId="11" fillId="0" borderId="1" applyAlignment="1" pivotButton="0" quotePrefix="0" xfId="0">
      <alignment horizontal="center" vertical="center"/>
    </xf>
    <xf numFmtId="167" fontId="11" fillId="0" borderId="1" applyAlignment="1" pivotButton="0" quotePrefix="0" xfId="0">
      <alignment horizontal="right" vertical="center"/>
    </xf>
    <xf numFmtId="165" fontId="11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165" fontId="13" fillId="5" borderId="1" applyAlignment="1" pivotButton="0" quotePrefix="0" xfId="0">
      <alignment horizontal="right" vertical="center"/>
    </xf>
    <xf numFmtId="0" fontId="14" fillId="6" borderId="1" applyAlignment="1" pivotButton="0" quotePrefix="0" xfId="0">
      <alignment horizontal="left" vertical="center"/>
    </xf>
    <xf numFmtId="165" fontId="14" fillId="6" borderId="1" applyAlignment="1" pivotButton="0" quotePrefix="0" xfId="0">
      <alignment horizontal="right" vertical="center"/>
    </xf>
    <xf numFmtId="1" fontId="13" fillId="5" borderId="1" applyAlignment="1" pivotButton="0" quotePrefix="0" xfId="0">
      <alignment horizontal="right" vertical="center"/>
    </xf>
    <xf numFmtId="167" fontId="13" fillId="5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164" fontId="11" fillId="0" borderId="1" applyAlignment="1" pivotButton="0" quotePrefix="0" xfId="0">
      <alignment horizontal="right" vertical="center"/>
    </xf>
    <xf numFmtId="0" fontId="1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Forward demand vs capacity (rooms)</a:t>
            </a:r>
          </a:p>
        </rich>
      </tx>
    </title>
    <plotArea>
      <lineChart>
        <grouping val="standard"/>
        <ser>
          <idx val="0"/>
          <order val="0"/>
          <tx>
            <strRef>
              <f>'Demand Forecast'!D36</f>
            </strRef>
          </tx>
          <spPr>
            <a:ln xmlns:a="http://schemas.openxmlformats.org/drawingml/2006/main" w="28000">
              <a:solidFill>
                <a:srgbClr val="17B89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'Demand Forecast'!$B$37:$B$43</f>
            </numRef>
          </cat>
          <val>
            <numRef>
              <f>'Demand Forecast'!$D$37:$D$43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13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60" customWidth="1" min="3" max="3"/>
    <col width="2" customWidth="1" min="4" max="4"/>
  </cols>
  <sheetData>
    <row r="2" ht="30" customHeight="1">
      <c r="B2" s="1" t="inlineStr">
        <is>
          <t>HELIOS TRAVEL GROUP  ·  Sample Model</t>
        </is>
      </c>
    </row>
    <row r="3" ht="16" customHeight="1">
      <c r="B3" s="2" t="inlineStr">
        <is>
          <t>Illustrative revenue-management project. Prepared by Prajit Jawahar</t>
        </is>
      </c>
    </row>
    <row r="5" ht="30" customHeight="1">
      <c r="B5" s="3" t="inlineStr">
        <is>
          <t>Model</t>
        </is>
      </c>
      <c r="C5" s="4" t="inlineStr">
        <is>
          <t>27: Demand Forecasting &amp; Unconstraining (Helios Resorts)</t>
        </is>
      </c>
    </row>
    <row r="6" ht="60" customHeight="1">
      <c r="B6" s="3" t="inlineStr">
        <is>
          <t>Purpose</t>
        </is>
      </c>
      <c r="C6" s="4" t="inlineStr">
        <is>
          <t>Forecast daily rooms demand for a capacity-constrained hotel using a seasonality and day-of-week model, then unconstrain (detruncate) demand on sold-out dates to recover the true demand that was turned away, and measure forecast accuracy.</t>
        </is>
      </c>
    </row>
    <row r="7" ht="45" customHeight="1">
      <c r="B7" s="3" t="inlineStr">
        <is>
          <t>Techniques shown</t>
        </is>
      </c>
      <c r="C7" s="4" t="inlineStr">
        <is>
          <t>Multiplicative seasonality × day-of-week model · demand unconstraining / detruncation on censored dates · turn-away (spill) estimation · forward pickup forecast · MAPE accuracy.</t>
        </is>
      </c>
    </row>
    <row r="8" ht="45" customHeight="1">
      <c r="B8" s="3" t="inlineStr">
        <is>
          <t>How to use</t>
        </is>
      </c>
      <c r="C8" s="4" t="inlineStr">
        <is>
          <t>Update the blue base demand, seasonal / day-of-week indices, sold-out uplift and observed history; the unconstrained demand, forward forecast, spill and accuracy recompute.</t>
        </is>
      </c>
    </row>
    <row r="9" ht="30" customHeight="1">
      <c r="B9" s="3" t="inlineStr">
        <is>
          <t>Currency / units</t>
        </is>
      </c>
      <c r="C9" s="4" t="inlineStr">
        <is>
          <t>See each sheet header for units.</t>
        </is>
      </c>
    </row>
    <row r="10" ht="30" customHeight="1">
      <c r="B10" s="3" t="inlineStr">
        <is>
          <t>Data</t>
        </is>
      </c>
      <c r="C10" s="4" t="inlineStr">
        <is>
          <t>Sample / illustrative figures for a fictional company. Not real financials.</t>
        </is>
      </c>
    </row>
    <row r="12">
      <c r="B12" s="5" t="inlineStr">
        <is>
          <t xml:space="preserve">  Blue text</t>
        </is>
      </c>
      <c r="C12" s="6" t="inlineStr">
        <is>
          <t>Hard-coded input / assumption you can change</t>
        </is>
      </c>
    </row>
    <row r="13">
      <c r="B13" s="7" t="inlineStr">
        <is>
          <t xml:space="preserve">  Black text</t>
        </is>
      </c>
      <c r="C13" s="6" t="inlineStr">
        <is>
          <t>Formula, recalculates automatically</t>
        </is>
      </c>
    </row>
    <row r="14">
      <c r="B14" s="8" t="inlineStr">
        <is>
          <t xml:space="preserve">  Yellow fill</t>
        </is>
      </c>
      <c r="C14" s="6" t="inlineStr">
        <is>
          <t>Cells intended for you to fill in</t>
        </is>
      </c>
    </row>
  </sheetData>
  <mergeCells count="2">
    <mergeCell ref="B2:C2"/>
    <mergeCell ref="B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48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6" customWidth="1" min="2" max="2"/>
    <col width="12" customWidth="1" min="3" max="3"/>
    <col width="12" customWidth="1" min="4" max="4"/>
    <col width="12" customWidth="1" min="5" max="5"/>
    <col width="13" customWidth="1" min="6" max="6"/>
    <col width="13" customWidth="1" min="7" max="7"/>
    <col width="13" customWidth="1" min="8" max="8"/>
    <col width="2" customWidth="1" min="9" max="9"/>
  </cols>
  <sheetData>
    <row r="2" ht="30" customHeight="1">
      <c r="B2" s="1" t="inlineStr">
        <is>
          <t>Helios Resorts — Daily Rooms Demand Forecast</t>
        </is>
      </c>
    </row>
    <row r="3" ht="16" customHeight="1">
      <c r="B3" s="2" t="inlineStr">
        <is>
          <t>Rooms. Blue = input. Capacity-constrained property; demand on sold-out days is unconstrained.</t>
        </is>
      </c>
    </row>
    <row r="5" ht="20" customHeight="1">
      <c r="B5" s="9" t="inlineStr">
        <is>
          <t>Drivers</t>
        </is>
      </c>
    </row>
    <row r="6">
      <c r="B6" s="10" t="inlineStr">
        <is>
          <t>Capacity (rooms)</t>
        </is>
      </c>
      <c r="C6" s="11" t="n">
        <v>200</v>
      </c>
    </row>
    <row r="7">
      <c r="B7" s="10" t="inlineStr">
        <is>
          <t>Base daily demand (rooms)</t>
        </is>
      </c>
      <c r="C7" s="11" t="n">
        <v>150</v>
      </c>
    </row>
    <row r="8">
      <c r="B8" s="10" t="inlineStr">
        <is>
          <t>Trend / YoY growth</t>
        </is>
      </c>
      <c r="C8" s="12" t="n">
        <v>0.03</v>
      </c>
    </row>
    <row r="9">
      <c r="B9" s="10" t="inlineStr">
        <is>
          <t>Season index (current period)</t>
        </is>
      </c>
      <c r="C9" s="13" t="n">
        <v>1.25</v>
      </c>
    </row>
    <row r="10">
      <c r="B10" s="10" t="inlineStr">
        <is>
          <t>Sold-out demand uplift (turned away)</t>
        </is>
      </c>
      <c r="C10" s="12" t="n">
        <v>0.15</v>
      </c>
    </row>
    <row r="12" ht="20" customHeight="1">
      <c r="B12" s="9" t="inlineStr">
        <is>
          <t>Historical demand &amp; unconstraining (last 14 days)</t>
        </is>
      </c>
    </row>
    <row r="13" ht="26" customHeight="1">
      <c r="B13" s="14" t="inlineStr">
        <is>
          <t>Day</t>
        </is>
      </c>
      <c r="C13" s="15" t="inlineStr">
        <is>
          <t>DOW index</t>
        </is>
      </c>
      <c r="D13" s="15" t="inlineStr">
        <is>
          <t>Observed sold</t>
        </is>
      </c>
      <c r="E13" s="15" t="inlineStr">
        <is>
          <t>Sold out?</t>
        </is>
      </c>
      <c r="F13" s="15" t="inlineStr">
        <is>
          <t>Unconstrained</t>
        </is>
      </c>
      <c r="G13" s="15" t="inlineStr">
        <is>
          <t>Model forecast</t>
        </is>
      </c>
      <c r="H13" s="15" t="inlineStr">
        <is>
          <t>Abs % error</t>
        </is>
      </c>
    </row>
    <row r="14">
      <c r="B14" s="16" t="inlineStr">
        <is>
          <t>D1 Mon</t>
        </is>
      </c>
      <c r="C14" s="17" t="n">
        <v>0.85</v>
      </c>
      <c r="D14" s="18" t="n">
        <v>152</v>
      </c>
      <c r="E14" s="19">
        <f>IF(D14&gt;=$C$6,"Yes","No")</f>
        <v/>
      </c>
      <c r="F14" s="20">
        <f>IF(D14&gt;=$C$6,D14*(1+$C$10),D14)</f>
        <v/>
      </c>
      <c r="G14" s="20">
        <f>$C$7*$C$9*C14*(1+$C$8)</f>
        <v/>
      </c>
      <c r="H14" s="21">
        <f>ABS(G14-F14)/F14</f>
        <v/>
      </c>
    </row>
    <row r="15">
      <c r="B15" s="16" t="inlineStr">
        <is>
          <t>D2 Tue</t>
        </is>
      </c>
      <c r="C15" s="17" t="n">
        <v>0.88</v>
      </c>
      <c r="D15" s="18" t="n">
        <v>160</v>
      </c>
      <c r="E15" s="19">
        <f>IF(D15&gt;=$C$6,"Yes","No")</f>
        <v/>
      </c>
      <c r="F15" s="20">
        <f>IF(D15&gt;=$C$6,D15*(1+$C$10),D15)</f>
        <v/>
      </c>
      <c r="G15" s="20">
        <f>$C$7*$C$9*C15*(1+$C$8)</f>
        <v/>
      </c>
      <c r="H15" s="21">
        <f>ABS(G15-F15)/F15</f>
        <v/>
      </c>
    </row>
    <row r="16">
      <c r="B16" s="16" t="inlineStr">
        <is>
          <t>D3 Wed</t>
        </is>
      </c>
      <c r="C16" s="17" t="n">
        <v>0.92</v>
      </c>
      <c r="D16" s="18" t="n">
        <v>168</v>
      </c>
      <c r="E16" s="19">
        <f>IF(D16&gt;=$C$6,"Yes","No")</f>
        <v/>
      </c>
      <c r="F16" s="20">
        <f>IF(D16&gt;=$C$6,D16*(1+$C$10),D16)</f>
        <v/>
      </c>
      <c r="G16" s="20">
        <f>$C$7*$C$9*C16*(1+$C$8)</f>
        <v/>
      </c>
      <c r="H16" s="21">
        <f>ABS(G16-F16)/F16</f>
        <v/>
      </c>
    </row>
    <row r="17">
      <c r="B17" s="16" t="inlineStr">
        <is>
          <t>D4 Thu</t>
        </is>
      </c>
      <c r="C17" s="17" t="n">
        <v>1</v>
      </c>
      <c r="D17" s="18" t="n">
        <v>178</v>
      </c>
      <c r="E17" s="19">
        <f>IF(D17&gt;=$C$6,"Yes","No")</f>
        <v/>
      </c>
      <c r="F17" s="20">
        <f>IF(D17&gt;=$C$6,D17*(1+$C$10),D17)</f>
        <v/>
      </c>
      <c r="G17" s="20">
        <f>$C$7*$C$9*C17*(1+$C$8)</f>
        <v/>
      </c>
      <c r="H17" s="21">
        <f>ABS(G17-F17)/F17</f>
        <v/>
      </c>
    </row>
    <row r="18">
      <c r="B18" s="16" t="inlineStr">
        <is>
          <t>D5 Fri</t>
        </is>
      </c>
      <c r="C18" s="17" t="n">
        <v>1.25</v>
      </c>
      <c r="D18" s="18" t="n">
        <v>200</v>
      </c>
      <c r="E18" s="19">
        <f>IF(D18&gt;=$C$6,"Yes","No")</f>
        <v/>
      </c>
      <c r="F18" s="20">
        <f>IF(D18&gt;=$C$6,D18*(1+$C$10),D18)</f>
        <v/>
      </c>
      <c r="G18" s="20">
        <f>$C$7*$C$9*C18*(1+$C$8)</f>
        <v/>
      </c>
      <c r="H18" s="21">
        <f>ABS(G18-F18)/F18</f>
        <v/>
      </c>
    </row>
    <row r="19">
      <c r="B19" s="16" t="inlineStr">
        <is>
          <t>D6 Sat</t>
        </is>
      </c>
      <c r="C19" s="17" t="n">
        <v>1.3</v>
      </c>
      <c r="D19" s="18" t="n">
        <v>200</v>
      </c>
      <c r="E19" s="19">
        <f>IF(D19&gt;=$C$6,"Yes","No")</f>
        <v/>
      </c>
      <c r="F19" s="20">
        <f>IF(D19&gt;=$C$6,D19*(1+$C$10),D19)</f>
        <v/>
      </c>
      <c r="G19" s="20">
        <f>$C$7*$C$9*C19*(1+$C$8)</f>
        <v/>
      </c>
      <c r="H19" s="21">
        <f>ABS(G19-F19)/F19</f>
        <v/>
      </c>
    </row>
    <row r="20">
      <c r="B20" s="16" t="inlineStr">
        <is>
          <t>D7 Sun</t>
        </is>
      </c>
      <c r="C20" s="17" t="n">
        <v>0.95</v>
      </c>
      <c r="D20" s="18" t="n">
        <v>175</v>
      </c>
      <c r="E20" s="19">
        <f>IF(D20&gt;=$C$6,"Yes","No")</f>
        <v/>
      </c>
      <c r="F20" s="20">
        <f>IF(D20&gt;=$C$6,D20*(1+$C$10),D20)</f>
        <v/>
      </c>
      <c r="G20" s="20">
        <f>$C$7*$C$9*C20*(1+$C$8)</f>
        <v/>
      </c>
      <c r="H20" s="21">
        <f>ABS(G20-F20)/F20</f>
        <v/>
      </c>
    </row>
    <row r="21">
      <c r="B21" s="16" t="inlineStr">
        <is>
          <t>D8 Mon</t>
        </is>
      </c>
      <c r="C21" s="17" t="n">
        <v>0.85</v>
      </c>
      <c r="D21" s="18" t="n">
        <v>150</v>
      </c>
      <c r="E21" s="19">
        <f>IF(D21&gt;=$C$6,"Yes","No")</f>
        <v/>
      </c>
      <c r="F21" s="20">
        <f>IF(D21&gt;=$C$6,D21*(1+$C$10),D21)</f>
        <v/>
      </c>
      <c r="G21" s="20">
        <f>$C$7*$C$9*C21*(1+$C$8)</f>
        <v/>
      </c>
      <c r="H21" s="21">
        <f>ABS(G21-F21)/F21</f>
        <v/>
      </c>
    </row>
    <row r="22">
      <c r="B22" s="16" t="inlineStr">
        <is>
          <t>D9 Tue</t>
        </is>
      </c>
      <c r="C22" s="17" t="n">
        <v>0.88</v>
      </c>
      <c r="D22" s="18" t="n">
        <v>162</v>
      </c>
      <c r="E22" s="19">
        <f>IF(D22&gt;=$C$6,"Yes","No")</f>
        <v/>
      </c>
      <c r="F22" s="20">
        <f>IF(D22&gt;=$C$6,D22*(1+$C$10),D22)</f>
        <v/>
      </c>
      <c r="G22" s="20">
        <f>$C$7*$C$9*C22*(1+$C$8)</f>
        <v/>
      </c>
      <c r="H22" s="21">
        <f>ABS(G22-F22)/F22</f>
        <v/>
      </c>
    </row>
    <row r="23">
      <c r="B23" s="16" t="inlineStr">
        <is>
          <t>D10 Wed</t>
        </is>
      </c>
      <c r="C23" s="17" t="n">
        <v>0.92</v>
      </c>
      <c r="D23" s="18" t="n">
        <v>171</v>
      </c>
      <c r="E23" s="19">
        <f>IF(D23&gt;=$C$6,"Yes","No")</f>
        <v/>
      </c>
      <c r="F23" s="20">
        <f>IF(D23&gt;=$C$6,D23*(1+$C$10),D23)</f>
        <v/>
      </c>
      <c r="G23" s="20">
        <f>$C$7*$C$9*C23*(1+$C$8)</f>
        <v/>
      </c>
      <c r="H23" s="21">
        <f>ABS(G23-F23)/F23</f>
        <v/>
      </c>
    </row>
    <row r="24">
      <c r="B24" s="16" t="inlineStr">
        <is>
          <t>D11 Thu</t>
        </is>
      </c>
      <c r="C24" s="17" t="n">
        <v>1</v>
      </c>
      <c r="D24" s="18" t="n">
        <v>182</v>
      </c>
      <c r="E24" s="19">
        <f>IF(D24&gt;=$C$6,"Yes","No")</f>
        <v/>
      </c>
      <c r="F24" s="20">
        <f>IF(D24&gt;=$C$6,D24*(1+$C$10),D24)</f>
        <v/>
      </c>
      <c r="G24" s="20">
        <f>$C$7*$C$9*C24*(1+$C$8)</f>
        <v/>
      </c>
      <c r="H24" s="21">
        <f>ABS(G24-F24)/F24</f>
        <v/>
      </c>
    </row>
    <row r="25">
      <c r="B25" s="16" t="inlineStr">
        <is>
          <t>D12 Fri</t>
        </is>
      </c>
      <c r="C25" s="17" t="n">
        <v>1.25</v>
      </c>
      <c r="D25" s="18" t="n">
        <v>200</v>
      </c>
      <c r="E25" s="19">
        <f>IF(D25&gt;=$C$6,"Yes","No")</f>
        <v/>
      </c>
      <c r="F25" s="20">
        <f>IF(D25&gt;=$C$6,D25*(1+$C$10),D25)</f>
        <v/>
      </c>
      <c r="G25" s="20">
        <f>$C$7*$C$9*C25*(1+$C$8)</f>
        <v/>
      </c>
      <c r="H25" s="21">
        <f>ABS(G25-F25)/F25</f>
        <v/>
      </c>
    </row>
    <row r="26">
      <c r="B26" s="16" t="inlineStr">
        <is>
          <t>D13 Sat</t>
        </is>
      </c>
      <c r="C26" s="17" t="n">
        <v>1.3</v>
      </c>
      <c r="D26" s="18" t="n">
        <v>200</v>
      </c>
      <c r="E26" s="19">
        <f>IF(D26&gt;=$C$6,"Yes","No")</f>
        <v/>
      </c>
      <c r="F26" s="20">
        <f>IF(D26&gt;=$C$6,D26*(1+$C$10),D26)</f>
        <v/>
      </c>
      <c r="G26" s="20">
        <f>$C$7*$C$9*C26*(1+$C$8)</f>
        <v/>
      </c>
      <c r="H26" s="21">
        <f>ABS(G26-F26)/F26</f>
        <v/>
      </c>
    </row>
    <row r="27">
      <c r="B27" s="16" t="inlineStr">
        <is>
          <t>D14 Sun</t>
        </is>
      </c>
      <c r="C27" s="17" t="n">
        <v>0.95</v>
      </c>
      <c r="D27" s="18" t="n">
        <v>171</v>
      </c>
      <c r="E27" s="19">
        <f>IF(D27&gt;=$C$6,"Yes","No")</f>
        <v/>
      </c>
      <c r="F27" s="20">
        <f>IF(D27&gt;=$C$6,D27*(1+$C$10),D27)</f>
        <v/>
      </c>
      <c r="G27" s="20">
        <f>$C$7*$C$9*C27*(1+$C$8)</f>
        <v/>
      </c>
      <c r="H27" s="21">
        <f>ABS(G27-F27)/F27</f>
        <v/>
      </c>
    </row>
    <row r="28" ht="20" customHeight="1">
      <c r="B28" s="9" t="inlineStr">
        <is>
          <t>Accuracy &amp; spill KPIs</t>
        </is>
      </c>
    </row>
    <row r="29">
      <c r="B29" s="22" t="inlineStr">
        <is>
          <t>Forecast MAPE</t>
        </is>
      </c>
      <c r="C29" s="23">
        <f>AVERAGE(H14:H27)</f>
        <v/>
      </c>
    </row>
    <row r="30">
      <c r="B30" s="24" t="inlineStr">
        <is>
          <t>Forecast accuracy (1 - MAPE)</t>
        </is>
      </c>
      <c r="C30" s="25">
        <f>1-C29</f>
        <v/>
      </c>
    </row>
    <row r="31">
      <c r="B31" s="22" t="inlineStr">
        <is>
          <t>Sold-out days (of 14)</t>
        </is>
      </c>
      <c r="C31" s="26">
        <f>COUNTIF(E14:E27,"Yes")</f>
        <v/>
      </c>
    </row>
    <row r="32">
      <c r="B32" s="22" t="inlineStr">
        <is>
          <t>Estimated spill (turned-away rooms)</t>
        </is>
      </c>
      <c r="C32" s="27">
        <f>SUM(F14:F27)-SUM(D14:D27)</f>
        <v/>
      </c>
    </row>
    <row r="33">
      <c r="B33" s="10" t="inlineStr">
        <is>
          <t>Avg unconstrained demand</t>
        </is>
      </c>
      <c r="C33" s="28">
        <f>AVERAGE(F14:F27)</f>
        <v/>
      </c>
    </row>
    <row r="35" ht="20" customHeight="1">
      <c r="B35" s="9" t="inlineStr">
        <is>
          <t>Forward 7-day forecast (pickup)</t>
        </is>
      </c>
    </row>
    <row r="36" ht="26" customHeight="1">
      <c r="B36" s="14" t="inlineStr">
        <is>
          <t>Day</t>
        </is>
      </c>
      <c r="C36" s="15" t="inlineStr">
        <is>
          <t>DOW index</t>
        </is>
      </c>
      <c r="D36" s="15" t="inlineStr">
        <is>
          <t>Unconstrained forecast</t>
        </is>
      </c>
      <c r="E36" s="15" t="inlineStr">
        <is>
          <t>Constrained (&lt;= cap)</t>
        </is>
      </c>
      <c r="F36" s="15" t="inlineStr">
        <is>
          <t>Expected spill</t>
        </is>
      </c>
    </row>
    <row r="37">
      <c r="B37" s="16" t="inlineStr">
        <is>
          <t>+1 Mon</t>
        </is>
      </c>
      <c r="C37" s="17" t="n">
        <v>0.85</v>
      </c>
      <c r="D37" s="20">
        <f>$C$7*$C$9*C37*(1+$C$8)</f>
        <v/>
      </c>
      <c r="E37" s="29">
        <f>MIN(D37,$C$6)</f>
        <v/>
      </c>
      <c r="F37" s="20">
        <f>MAX(0,D37-$C$6)</f>
        <v/>
      </c>
    </row>
    <row r="38">
      <c r="B38" s="16" t="inlineStr">
        <is>
          <t>+2 Tue</t>
        </is>
      </c>
      <c r="C38" s="17" t="n">
        <v>0.88</v>
      </c>
      <c r="D38" s="20">
        <f>$C$7*$C$9*C38*(1+$C$8)</f>
        <v/>
      </c>
      <c r="E38" s="29">
        <f>MIN(D38,$C$6)</f>
        <v/>
      </c>
      <c r="F38" s="20">
        <f>MAX(0,D38-$C$6)</f>
        <v/>
      </c>
    </row>
    <row r="39">
      <c r="B39" s="16" t="inlineStr">
        <is>
          <t>+3 Wed</t>
        </is>
      </c>
      <c r="C39" s="17" t="n">
        <v>0.92</v>
      </c>
      <c r="D39" s="20">
        <f>$C$7*$C$9*C39*(1+$C$8)</f>
        <v/>
      </c>
      <c r="E39" s="29">
        <f>MIN(D39,$C$6)</f>
        <v/>
      </c>
      <c r="F39" s="20">
        <f>MAX(0,D39-$C$6)</f>
        <v/>
      </c>
    </row>
    <row r="40">
      <c r="B40" s="16" t="inlineStr">
        <is>
          <t>+4 Thu</t>
        </is>
      </c>
      <c r="C40" s="17" t="n">
        <v>1</v>
      </c>
      <c r="D40" s="20">
        <f>$C$7*$C$9*C40*(1+$C$8)</f>
        <v/>
      </c>
      <c r="E40" s="29">
        <f>MIN(D40,$C$6)</f>
        <v/>
      </c>
      <c r="F40" s="20">
        <f>MAX(0,D40-$C$6)</f>
        <v/>
      </c>
    </row>
    <row r="41">
      <c r="B41" s="16" t="inlineStr">
        <is>
          <t>+5 Fri</t>
        </is>
      </c>
      <c r="C41" s="17" t="n">
        <v>1.25</v>
      </c>
      <c r="D41" s="20">
        <f>$C$7*$C$9*C41*(1+$C$8)</f>
        <v/>
      </c>
      <c r="E41" s="29">
        <f>MIN(D41,$C$6)</f>
        <v/>
      </c>
      <c r="F41" s="20">
        <f>MAX(0,D41-$C$6)</f>
        <v/>
      </c>
    </row>
    <row r="42">
      <c r="B42" s="16" t="inlineStr">
        <is>
          <t>+6 Sat</t>
        </is>
      </c>
      <c r="C42" s="17" t="n">
        <v>1.3</v>
      </c>
      <c r="D42" s="20">
        <f>$C$7*$C$9*C42*(1+$C$8)</f>
        <v/>
      </c>
      <c r="E42" s="29">
        <f>MIN(D42,$C$6)</f>
        <v/>
      </c>
      <c r="F42" s="20">
        <f>MAX(0,D42-$C$6)</f>
        <v/>
      </c>
    </row>
    <row r="43">
      <c r="B43" s="16" t="inlineStr">
        <is>
          <t>+7 Sun</t>
        </is>
      </c>
      <c r="C43" s="17" t="n">
        <v>0.95</v>
      </c>
      <c r="D43" s="20">
        <f>$C$7*$C$9*C43*(1+$C$8)</f>
        <v/>
      </c>
      <c r="E43" s="29">
        <f>MIN(D43,$C$6)</f>
        <v/>
      </c>
      <c r="F43" s="20">
        <f>MAX(0,D43-$C$6)</f>
        <v/>
      </c>
    </row>
    <row r="45" ht="20" customHeight="1">
      <c r="B45" s="9" t="inlineStr">
        <is>
          <t>Key insights (auto-generated)</t>
        </is>
      </c>
    </row>
    <row r="46" ht="26" customHeight="1">
      <c r="B46" s="30">
        <f>"The DOW x seasonality model forecasts demand at "&amp;TEXT(C30,"0.0%")&amp;" accuracy (MAPE "&amp;TEXT(C29,"0.0%")&amp;") on the last 14 days."</f>
        <v/>
      </c>
    </row>
    <row r="47" ht="26" customHeight="1">
      <c r="B47" s="30">
        <f>"On "&amp;TEXT(C31,"0")&amp;" sold-out days true demand exceeded the "&amp;TEXT(C6,"#,##0")&amp;"-room capacity; unconstraining recovers about "&amp;TEXT(C32,"#,##0")&amp;" rooms of turned-away (spill) demand."</f>
        <v/>
      </c>
    </row>
    <row r="48" ht="26" customHeight="1">
      <c r="B48" s="30">
        <f>"Recovering that hidden demand is what lets pricing and inventory decisions target true demand, not just what was sold."</f>
        <v/>
      </c>
    </row>
  </sheetData>
  <mergeCells count="10">
    <mergeCell ref="B2:H2"/>
    <mergeCell ref="B3:H3"/>
    <mergeCell ref="B5:C5"/>
    <mergeCell ref="B12:H12"/>
    <mergeCell ref="B28:C28"/>
    <mergeCell ref="B35:H35"/>
    <mergeCell ref="B45:H45"/>
    <mergeCell ref="B46:H46"/>
    <mergeCell ref="B47:H47"/>
    <mergeCell ref="B48:H4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2026-09-23T12:55:45Z</dcterms:created>
  <dcterms:modified xmlns:dcterms="http://purl.org/dc/terms/" xmlns:xsi="http://www.w3.org/2001/XMLSchema-instance" xsi:type="dcterms:W3CDTF">2026-09-23T12:55:45Z</dcterms:modified>
</cp:coreProperties>
</file>