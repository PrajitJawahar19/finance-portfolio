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13-Week Foreca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&quot;-&quot;"/>
  </numFmts>
  <fonts count="23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FFFFFF"/>
      <sz val="9"/>
    </font>
    <font>
      <name val="Arial"/>
      <b val="1"/>
      <color rgb="001F3A5F"/>
      <sz val="10"/>
    </font>
    <font>
      <name val="Arial"/>
      <color rgb="00222222"/>
      <sz val="10"/>
    </font>
    <font>
      <name val="Arial"/>
      <b val="1"/>
      <color rgb="000000FF"/>
      <sz val="9"/>
    </font>
    <font>
      <name val="Arial"/>
      <color rgb="00444444"/>
      <sz val="9"/>
    </font>
    <font>
      <name val="Arial"/>
      <b val="1"/>
      <color rgb="00000000"/>
      <sz val="9"/>
    </font>
    <font>
      <name val="Arial"/>
      <b val="1"/>
      <color rgb="00008000"/>
      <sz val="9"/>
    </font>
    <font>
      <name val="Arial"/>
      <b val="1"/>
      <color rgb="000000FF"/>
      <sz val="10"/>
    </font>
    <font>
      <name val="Arial"/>
      <b val="1"/>
      <color rgb="00FFFFFF"/>
      <sz val="9"/>
    </font>
    <font>
      <name val="Arial"/>
      <b val="1"/>
      <color rgb="00FFFFFF"/>
      <sz val="8.5"/>
    </font>
    <font>
      <name val="Arial"/>
      <b val="1"/>
      <color rgb="00222222"/>
      <sz val="9.5"/>
    </font>
    <font>
      <name val="Arial"/>
      <b val="1"/>
      <color rgb="00222222"/>
      <sz val="9"/>
    </font>
    <font>
      <name val="Arial"/>
      <color rgb="00000000"/>
      <sz val="10"/>
    </font>
    <font>
      <name val="Arial"/>
      <color rgb="00000000"/>
      <sz val="9.5"/>
    </font>
    <font>
      <name val="Arial"/>
      <color rgb="000000FF"/>
      <sz val="9"/>
    </font>
    <font>
      <name val="Arial"/>
      <b val="1"/>
      <color rgb="001F3A5F"/>
      <sz val="9.5"/>
    </font>
    <font>
      <name val="Arial"/>
      <b val="1"/>
      <color rgb="001F3A5F"/>
      <sz val="9"/>
    </font>
    <font>
      <name val="Arial"/>
      <color rgb="00222222"/>
      <sz val="9.5"/>
    </font>
    <font>
      <name val="Arial"/>
      <color rgb="00222222"/>
      <sz val="9"/>
    </font>
    <font>
      <name val="Arial"/>
      <b val="1"/>
      <color rgb="001F3A5F"/>
      <sz val="11"/>
    </font>
    <font>
      <name val="Arial"/>
      <color rgb="00333333"/>
      <sz val="9.5"/>
    </font>
  </fonts>
  <fills count="6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2E5A88"/>
      </patternFill>
    </fill>
    <fill>
      <patternFill patternType="solid">
        <fgColor rgb="00FFF2CC"/>
      </patternFill>
    </fill>
    <fill>
      <patternFill patternType="solid">
        <fgColor rgb="00EAF0F6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7" fillId="4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164" fontId="9" fillId="4" borderId="1" applyAlignment="1" pivotButton="0" quotePrefix="0" xfId="0">
      <alignment horizontal="right" vertical="center"/>
    </xf>
    <xf numFmtId="0" fontId="10" fillId="3" borderId="1" applyAlignment="1" pivotButton="0" quotePrefix="0" xfId="0">
      <alignment horizontal="left" vertical="center"/>
    </xf>
    <xf numFmtId="0" fontId="11" fillId="3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/>
    </xf>
    <xf numFmtId="164" fontId="13" fillId="0" borderId="1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14" fillId="0" borderId="1" applyAlignment="1" pivotButton="0" quotePrefix="0" xfId="0">
      <alignment vertical="center"/>
    </xf>
    <xf numFmtId="0" fontId="15" fillId="0" borderId="1" applyAlignment="1" pivotButton="0" quotePrefix="0" xfId="0">
      <alignment horizontal="left" vertical="center"/>
    </xf>
    <xf numFmtId="164" fontId="16" fillId="4" borderId="1" applyAlignment="1" pivotButton="0" quotePrefix="0" xfId="0">
      <alignment horizontal="right" vertical="center"/>
    </xf>
    <xf numFmtId="0" fontId="17" fillId="0" borderId="1" applyAlignment="1" pivotButton="0" quotePrefix="0" xfId="0">
      <alignment horizontal="left" vertical="center"/>
    </xf>
    <xf numFmtId="164" fontId="18" fillId="5" borderId="1" applyAlignment="1" pivotButton="0" quotePrefix="0" xfId="0">
      <alignment horizontal="right" vertical="center"/>
    </xf>
    <xf numFmtId="0" fontId="19" fillId="0" borderId="1" applyAlignment="1" pivotButton="0" quotePrefix="0" xfId="0">
      <alignment horizontal="left" vertical="center"/>
    </xf>
    <xf numFmtId="164" fontId="20" fillId="0" borderId="1" applyAlignment="1" pivotButton="0" quotePrefix="0" xfId="0">
      <alignment horizontal="right" vertical="center"/>
    </xf>
    <xf numFmtId="0" fontId="20" fillId="0" borderId="1" applyAlignment="1" pivotButton="0" quotePrefix="0" xfId="0">
      <alignment horizontal="center" vertical="center"/>
    </xf>
    <xf numFmtId="0" fontId="21" fillId="0" borderId="0" applyAlignment="1" pivotButton="0" quotePrefix="0" xfId="0">
      <alignment horizontal="left" vertical="center"/>
    </xf>
    <xf numFmtId="0" fontId="2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dxfs count="3">
    <dxf>
      <font>
        <name val="Arial"/>
        <b val="1"/>
        <color rgb="00C0392B"/>
      </font>
      <fill>
        <patternFill patternType="solid">
          <fgColor rgb="00FBE3E0"/>
        </patternFill>
      </fill>
    </dxf>
    <dxf>
      <font>
        <name val="Arial"/>
        <b val="1"/>
        <color rgb="000F7A55"/>
      </font>
      <fill>
        <patternFill patternType="solid">
          <fgColor rgb="00D5F2E3"/>
        </patternFill>
      </fill>
    </dxf>
    <dxf>
      <font>
        <name val="Arial"/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Weekly closing cash vs. minimum (€000)</a:t>
            </a:r>
          </a:p>
        </rich>
      </tx>
    </title>
    <plotArea>
      <lineChart>
        <grouping val="standard"/>
        <ser>
          <idx val="0"/>
          <order val="0"/>
          <tx>
            <strRef>
              <f>'13-Week Forecast'!B23</f>
            </strRef>
          </tx>
          <spPr>
            <a:ln xmlns:a="http://schemas.openxmlformats.org/drawingml/2006/main" w="28000">
              <a:solidFill>
                <a:srgbClr val="17B89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'13-Week Forecast'!$C$8:$O$8</f>
            </numRef>
          </cat>
          <val>
            <numRef>
              <f>'13-Week Forecast'!$C$23:$O$23</f>
            </numRef>
          </val>
        </ser>
        <ser>
          <idx val="1"/>
          <order val="1"/>
          <tx>
            <strRef>
              <f>'13-Week Forecast'!B24</f>
            </strRef>
          </tx>
          <spPr>
            <a:ln xmlns:a="http://schemas.openxmlformats.org/drawingml/2006/main" w="15000">
              <a:solidFill>
                <a:srgbClr val="C0392B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'13-Week Forecast'!$C$8:$O$8</f>
            </numRef>
          </cat>
          <val>
            <numRef>
              <f>'13-Week Forecast'!$C$24:$O$24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30</row>
      <rowOff>0</rowOff>
    </from>
    <ext cx="792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4" customWidth="1" min="2" max="2"/>
    <col width="60" customWidth="1" min="3" max="3"/>
    <col width="2" customWidth="1" min="4" max="4"/>
  </cols>
  <sheetData>
    <row r="2" ht="30" customHeight="1">
      <c r="B2" s="1" t="inlineStr">
        <is>
          <t>HELIOS CONSUMER GmbH  ·  Sample Model</t>
        </is>
      </c>
    </row>
    <row r="3" ht="16" customHeight="1">
      <c r="B3" s="2" t="inlineStr">
        <is>
          <t>Illustrative portfolio project. Prepared by Prajit Jawahar</t>
        </is>
      </c>
    </row>
    <row r="5" ht="30" customHeight="1">
      <c r="B5" s="3" t="inlineStr">
        <is>
          <t>Model</t>
        </is>
      </c>
      <c r="C5" s="4" t="inlineStr">
        <is>
          <t>25: 13-Week Rolling Cash Flow Forecast</t>
        </is>
      </c>
    </row>
    <row r="6" ht="75" customHeight="1">
      <c r="B6" s="3" t="inlineStr">
        <is>
          <t>Purpose</t>
        </is>
      </c>
      <c r="C6" s="4" t="inlineStr">
        <is>
          <t>The treasury team's core tactical tool: a direct-method, week-by-week forecast of receipts and disbursements over 13 weeks, rolling the cash balance forward, tracking revolver headroom, and flagging any week that breaches the minimum-cash line.</t>
        </is>
      </c>
    </row>
    <row r="7" ht="45" customHeight="1">
      <c r="B7" s="3" t="inlineStr">
        <is>
          <t>Techniques shown</t>
        </is>
      </c>
      <c r="C7" s="4" t="inlineStr">
        <is>
          <t>Direct-method weekly receipts &amp; disbursements · rolling opening/closing cash · minimum-cash covenant test · revolver availability &amp; total liquidity · weekly status flags.</t>
        </is>
      </c>
    </row>
    <row r="8" ht="45" customHeight="1">
      <c r="B8" s="3" t="inlineStr">
        <is>
          <t>How to use</t>
        </is>
      </c>
      <c r="C8" s="4" t="inlineStr">
        <is>
          <t>Update the blue weekly receipts and disbursement lines (payroll, suppliers, rent, tax, capex, debt service); the balance, liquidity and flags recompute each week.</t>
        </is>
      </c>
    </row>
    <row r="9" ht="30" customHeight="1">
      <c r="B9" s="3" t="inlineStr">
        <is>
          <t>Currency / units</t>
        </is>
      </c>
      <c r="C9" s="4" t="inlineStr">
        <is>
          <t>See each sheet header for units.</t>
        </is>
      </c>
    </row>
    <row r="10" ht="30" customHeight="1">
      <c r="B10" s="3" t="inlineStr">
        <is>
          <t>Data</t>
        </is>
      </c>
      <c r="C10" s="4" t="inlineStr">
        <is>
          <t>Sample / illustrative figures for a fictional company. Not real financials.</t>
        </is>
      </c>
    </row>
    <row r="12">
      <c r="B12" s="5" t="inlineStr">
        <is>
          <t xml:space="preserve">  Blue text</t>
        </is>
      </c>
      <c r="C12" s="6" t="inlineStr">
        <is>
          <t>Hard-coded input / assumption you can change</t>
        </is>
      </c>
    </row>
    <row r="13">
      <c r="B13" s="7" t="inlineStr">
        <is>
          <t xml:space="preserve">  Black text</t>
        </is>
      </c>
      <c r="C13" s="6" t="inlineStr">
        <is>
          <t>Formula, recalculates automatically</t>
        </is>
      </c>
    </row>
    <row r="14">
      <c r="B14" s="8" t="inlineStr">
        <is>
          <t xml:space="preserve">  Green text</t>
        </is>
      </c>
      <c r="C14" s="6" t="inlineStr">
        <is>
          <t>Links to another sheet</t>
        </is>
      </c>
    </row>
    <row r="15">
      <c r="B15" s="9" t="inlineStr">
        <is>
          <t xml:space="preserve">  Yellow fill</t>
        </is>
      </c>
      <c r="C15" s="6" t="inlineStr">
        <is>
          <t>Cells intended for you to fill in</t>
        </is>
      </c>
    </row>
  </sheetData>
  <mergeCells count="2">
    <mergeCell ref="B2:C2"/>
    <mergeCell ref="B3:C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O5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8.5" customWidth="1" min="3" max="3"/>
    <col width="8.5" customWidth="1" min="4" max="4"/>
    <col width="8.5" customWidth="1" min="5" max="5"/>
    <col width="8.5" customWidth="1" min="6" max="6"/>
    <col width="8.5" customWidth="1" min="7" max="7"/>
    <col width="8.5" customWidth="1" min="8" max="8"/>
    <col width="8.5" customWidth="1" min="9" max="9"/>
    <col width="8.5" customWidth="1" min="10" max="10"/>
    <col width="8.5" customWidth="1" min="11" max="11"/>
    <col width="8.5" customWidth="1" min="12" max="12"/>
    <col width="8.5" customWidth="1" min="13" max="13"/>
    <col width="8.5" customWidth="1" min="14" max="14"/>
    <col width="8.5" customWidth="1" min="15" max="15"/>
  </cols>
  <sheetData>
    <row r="2" ht="30" customHeight="1">
      <c r="B2" s="1" t="inlineStr">
        <is>
          <t>13-Week Rolling Cash Flow Forecast (€000)</t>
        </is>
      </c>
    </row>
    <row r="3" ht="16" customHeight="1">
      <c r="B3" s="2" t="inlineStr">
        <is>
          <t>Direct method. Blue = input. Rolling weekly balance with minimum-cash and revolver headroom.</t>
        </is>
      </c>
    </row>
    <row r="5">
      <c r="B5" s="10" t="inlineStr">
        <is>
          <t>Minimum cash covenant (€000)</t>
        </is>
      </c>
      <c r="C5" s="11" t="n">
        <v>1000</v>
      </c>
    </row>
    <row r="6">
      <c r="B6" s="10" t="inlineStr">
        <is>
          <t>Undrawn revolver available (€000)</t>
        </is>
      </c>
      <c r="C6" s="11" t="n">
        <v>3000</v>
      </c>
    </row>
    <row r="8">
      <c r="B8" s="12" t="inlineStr">
        <is>
          <t>€000</t>
        </is>
      </c>
      <c r="C8" s="13" t="inlineStr">
        <is>
          <t>W1</t>
        </is>
      </c>
      <c r="D8" s="13" t="inlineStr">
        <is>
          <t>W2</t>
        </is>
      </c>
      <c r="E8" s="13" t="inlineStr">
        <is>
          <t>W3</t>
        </is>
      </c>
      <c r="F8" s="13" t="inlineStr">
        <is>
          <t>W4</t>
        </is>
      </c>
      <c r="G8" s="13" t="inlineStr">
        <is>
          <t>W5</t>
        </is>
      </c>
      <c r="H8" s="13" t="inlineStr">
        <is>
          <t>W6</t>
        </is>
      </c>
      <c r="I8" s="13" t="inlineStr">
        <is>
          <t>W7</t>
        </is>
      </c>
      <c r="J8" s="13" t="inlineStr">
        <is>
          <t>W8</t>
        </is>
      </c>
      <c r="K8" s="13" t="inlineStr">
        <is>
          <t>W9</t>
        </is>
      </c>
      <c r="L8" s="13" t="inlineStr">
        <is>
          <t>W10</t>
        </is>
      </c>
      <c r="M8" s="13" t="inlineStr">
        <is>
          <t>W11</t>
        </is>
      </c>
      <c r="N8" s="13" t="inlineStr">
        <is>
          <t>W12</t>
        </is>
      </c>
      <c r="O8" s="13" t="inlineStr">
        <is>
          <t>W13</t>
        </is>
      </c>
    </row>
    <row r="9">
      <c r="B9" s="14" t="inlineStr">
        <is>
          <t>Opening cash</t>
        </is>
      </c>
      <c r="C9" s="15">
        <f>2500</f>
        <v/>
      </c>
      <c r="D9" s="15">
        <f>C23</f>
        <v/>
      </c>
      <c r="E9" s="15">
        <f>D23</f>
        <v/>
      </c>
      <c r="F9" s="15">
        <f>E23</f>
        <v/>
      </c>
      <c r="G9" s="15">
        <f>F23</f>
        <v/>
      </c>
      <c r="H9" s="15">
        <f>G23</f>
        <v/>
      </c>
      <c r="I9" s="15">
        <f>H23</f>
        <v/>
      </c>
      <c r="J9" s="15">
        <f>I23</f>
        <v/>
      </c>
      <c r="K9" s="15">
        <f>J23</f>
        <v/>
      </c>
      <c r="L9" s="15">
        <f>K23</f>
        <v/>
      </c>
      <c r="M9" s="15">
        <f>L23</f>
        <v/>
      </c>
      <c r="N9" s="15">
        <f>M23</f>
        <v/>
      </c>
      <c r="O9" s="15">
        <f>N23</f>
        <v/>
      </c>
    </row>
    <row r="10">
      <c r="B10" s="16" t="inlineStr">
        <is>
          <t>CASH RECEIPTS</t>
        </is>
      </c>
      <c r="C10" s="17" t="n"/>
      <c r="D10" s="17" t="n"/>
      <c r="E10" s="17" t="n"/>
      <c r="F10" s="17" t="n"/>
      <c r="G10" s="17" t="n"/>
      <c r="H10" s="17" t="n"/>
      <c r="I10" s="17" t="n"/>
      <c r="J10" s="17" t="n"/>
      <c r="K10" s="17" t="n"/>
      <c r="L10" s="17" t="n"/>
      <c r="M10" s="17" t="n"/>
      <c r="N10" s="17" t="n"/>
      <c r="O10" s="17" t="n"/>
    </row>
    <row r="11">
      <c r="B11" s="18" t="inlineStr">
        <is>
          <t>Collections from customers</t>
        </is>
      </c>
      <c r="C11" s="19" t="n">
        <v>980</v>
      </c>
      <c r="D11" s="19" t="n">
        <v>1010</v>
      </c>
      <c r="E11" s="19" t="n">
        <v>995</v>
      </c>
      <c r="F11" s="19" t="n">
        <v>1040</v>
      </c>
      <c r="G11" s="19" t="n">
        <v>1080</v>
      </c>
      <c r="H11" s="19" t="n">
        <v>1005</v>
      </c>
      <c r="I11" s="19" t="n">
        <v>970</v>
      </c>
      <c r="J11" s="19" t="n">
        <v>1030</v>
      </c>
      <c r="K11" s="19" t="n">
        <v>1075</v>
      </c>
      <c r="L11" s="19" t="n">
        <v>1020</v>
      </c>
      <c r="M11" s="19" t="n">
        <v>990</v>
      </c>
      <c r="N11" s="19" t="n">
        <v>1060</v>
      </c>
      <c r="O11" s="19" t="n">
        <v>1110</v>
      </c>
    </row>
    <row r="12">
      <c r="B12" s="18" t="inlineStr">
        <is>
          <t>Other receipts</t>
        </is>
      </c>
      <c r="C12" s="19" t="n">
        <v>0</v>
      </c>
      <c r="D12" s="19" t="n">
        <v>0</v>
      </c>
      <c r="E12" s="19" t="n">
        <v>0</v>
      </c>
      <c r="F12" s="19" t="n">
        <v>0</v>
      </c>
      <c r="G12" s="19" t="n">
        <v>0</v>
      </c>
      <c r="H12" s="19" t="n">
        <v>0</v>
      </c>
      <c r="I12" s="19" t="n">
        <v>200</v>
      </c>
      <c r="J12" s="19" t="n">
        <v>0</v>
      </c>
      <c r="K12" s="19" t="n">
        <v>0</v>
      </c>
      <c r="L12" s="19" t="n">
        <v>0</v>
      </c>
      <c r="M12" s="19" t="n">
        <v>0</v>
      </c>
      <c r="N12" s="19" t="n">
        <v>0</v>
      </c>
      <c r="O12" s="19" t="n">
        <v>0</v>
      </c>
    </row>
    <row r="13">
      <c r="B13" s="20" t="inlineStr">
        <is>
          <t>Total receipts</t>
        </is>
      </c>
      <c r="C13" s="21">
        <f>C11+C12</f>
        <v/>
      </c>
      <c r="D13" s="21">
        <f>D11+D12</f>
        <v/>
      </c>
      <c r="E13" s="21">
        <f>E11+E12</f>
        <v/>
      </c>
      <c r="F13" s="21">
        <f>F11+F12</f>
        <v/>
      </c>
      <c r="G13" s="21">
        <f>G11+G12</f>
        <v/>
      </c>
      <c r="H13" s="21">
        <f>H11+H12</f>
        <v/>
      </c>
      <c r="I13" s="21">
        <f>I11+I12</f>
        <v/>
      </c>
      <c r="J13" s="21">
        <f>J11+J12</f>
        <v/>
      </c>
      <c r="K13" s="21">
        <f>K11+K12</f>
        <v/>
      </c>
      <c r="L13" s="21">
        <f>L11+L12</f>
        <v/>
      </c>
      <c r="M13" s="21">
        <f>M11+M12</f>
        <v/>
      </c>
      <c r="N13" s="21">
        <f>N11+N12</f>
        <v/>
      </c>
      <c r="O13" s="21">
        <f>O11+O12</f>
        <v/>
      </c>
    </row>
    <row r="14">
      <c r="B14" s="16" t="inlineStr">
        <is>
          <t>CASH DISBURSEMENTS</t>
        </is>
      </c>
      <c r="C14" s="17" t="n"/>
      <c r="D14" s="17" t="n"/>
      <c r="E14" s="17" t="n"/>
      <c r="F14" s="17" t="n"/>
      <c r="G14" s="17" t="n"/>
      <c r="H14" s="17" t="n"/>
      <c r="I14" s="17" t="n"/>
      <c r="J14" s="17" t="n"/>
      <c r="K14" s="17" t="n"/>
      <c r="L14" s="17" t="n"/>
      <c r="M14" s="17" t="n"/>
      <c r="N14" s="17" t="n"/>
      <c r="O14" s="17" t="n"/>
    </row>
    <row r="15">
      <c r="B15" s="18" t="inlineStr">
        <is>
          <t>Supplier payments</t>
        </is>
      </c>
      <c r="C15" s="19" t="n">
        <v>600</v>
      </c>
      <c r="D15" s="19" t="n">
        <v>580</v>
      </c>
      <c r="E15" s="19" t="n">
        <v>610</v>
      </c>
      <c r="F15" s="19" t="n">
        <v>590</v>
      </c>
      <c r="G15" s="19" t="n">
        <v>620</v>
      </c>
      <c r="H15" s="19" t="n">
        <v>600</v>
      </c>
      <c r="I15" s="19" t="n">
        <v>585</v>
      </c>
      <c r="J15" s="19" t="n">
        <v>605</v>
      </c>
      <c r="K15" s="19" t="n">
        <v>615</v>
      </c>
      <c r="L15" s="19" t="n">
        <v>595</v>
      </c>
      <c r="M15" s="19" t="n">
        <v>590</v>
      </c>
      <c r="N15" s="19" t="n">
        <v>600</v>
      </c>
      <c r="O15" s="19" t="n">
        <v>610</v>
      </c>
    </row>
    <row r="16">
      <c r="B16" s="18" t="inlineStr">
        <is>
          <t>Payroll</t>
        </is>
      </c>
      <c r="C16" s="19" t="n">
        <v>260</v>
      </c>
      <c r="D16" s="19" t="n">
        <v>0</v>
      </c>
      <c r="E16" s="19" t="n">
        <v>260</v>
      </c>
      <c r="F16" s="19" t="n">
        <v>0</v>
      </c>
      <c r="G16" s="19" t="n">
        <v>260</v>
      </c>
      <c r="H16" s="19" t="n">
        <v>0</v>
      </c>
      <c r="I16" s="19" t="n">
        <v>260</v>
      </c>
      <c r="J16" s="19" t="n">
        <v>0</v>
      </c>
      <c r="K16" s="19" t="n">
        <v>260</v>
      </c>
      <c r="L16" s="19" t="n">
        <v>0</v>
      </c>
      <c r="M16" s="19" t="n">
        <v>260</v>
      </c>
      <c r="N16" s="19" t="n">
        <v>0</v>
      </c>
      <c r="O16" s="19" t="n">
        <v>260</v>
      </c>
    </row>
    <row r="17">
      <c r="B17" s="18" t="inlineStr">
        <is>
          <t>Rent &amp; overheads</t>
        </is>
      </c>
      <c r="C17" s="19" t="n">
        <v>120</v>
      </c>
      <c r="D17" s="19" t="n">
        <v>0</v>
      </c>
      <c r="E17" s="19" t="n">
        <v>0</v>
      </c>
      <c r="F17" s="19" t="n">
        <v>0</v>
      </c>
      <c r="G17" s="19" t="n">
        <v>120</v>
      </c>
      <c r="H17" s="19" t="n">
        <v>0</v>
      </c>
      <c r="I17" s="19" t="n">
        <v>0</v>
      </c>
      <c r="J17" s="19" t="n">
        <v>0</v>
      </c>
      <c r="K17" s="19" t="n">
        <v>120</v>
      </c>
      <c r="L17" s="19" t="n">
        <v>0</v>
      </c>
      <c r="M17" s="19" t="n">
        <v>0</v>
      </c>
      <c r="N17" s="19" t="n">
        <v>0</v>
      </c>
      <c r="O17" s="19" t="n">
        <v>120</v>
      </c>
    </row>
    <row r="18">
      <c r="B18" s="18" t="inlineStr">
        <is>
          <t>Tax payments</t>
        </is>
      </c>
      <c r="C18" s="19" t="n">
        <v>0</v>
      </c>
      <c r="D18" s="19" t="n">
        <v>0</v>
      </c>
      <c r="E18" s="19" t="n">
        <v>0</v>
      </c>
      <c r="F18" s="19" t="n">
        <v>0</v>
      </c>
      <c r="G18" s="19" t="n">
        <v>0</v>
      </c>
      <c r="H18" s="19" t="n">
        <v>350</v>
      </c>
      <c r="I18" s="19" t="n">
        <v>0</v>
      </c>
      <c r="J18" s="19" t="n">
        <v>0</v>
      </c>
      <c r="K18" s="19" t="n">
        <v>0</v>
      </c>
      <c r="L18" s="19" t="n">
        <v>0</v>
      </c>
      <c r="M18" s="19" t="n">
        <v>0</v>
      </c>
      <c r="N18" s="19" t="n">
        <v>0</v>
      </c>
      <c r="O18" s="19" t="n">
        <v>0</v>
      </c>
    </row>
    <row r="19">
      <c r="B19" s="18" t="inlineStr">
        <is>
          <t>Capital expenditure</t>
        </is>
      </c>
      <c r="C19" s="19" t="n">
        <v>0</v>
      </c>
      <c r="D19" s="19" t="n">
        <v>0</v>
      </c>
      <c r="E19" s="19" t="n">
        <v>0</v>
      </c>
      <c r="F19" s="19" t="n">
        <v>0</v>
      </c>
      <c r="G19" s="19" t="n">
        <v>0</v>
      </c>
      <c r="H19" s="19" t="n">
        <v>0</v>
      </c>
      <c r="I19" s="19" t="n">
        <v>0</v>
      </c>
      <c r="J19" s="19" t="n">
        <v>300</v>
      </c>
      <c r="K19" s="19" t="n">
        <v>0</v>
      </c>
      <c r="L19" s="19" t="n">
        <v>0</v>
      </c>
      <c r="M19" s="19" t="n">
        <v>0</v>
      </c>
      <c r="N19" s="19" t="n">
        <v>0</v>
      </c>
      <c r="O19" s="19" t="n">
        <v>0</v>
      </c>
    </row>
    <row r="20">
      <c r="B20" s="18" t="inlineStr">
        <is>
          <t>Debt service</t>
        </is>
      </c>
      <c r="C20" s="19" t="n">
        <v>0</v>
      </c>
      <c r="D20" s="19" t="n">
        <v>0</v>
      </c>
      <c r="E20" s="19" t="n">
        <v>0</v>
      </c>
      <c r="F20" s="19" t="n">
        <v>150</v>
      </c>
      <c r="G20" s="19" t="n">
        <v>0</v>
      </c>
      <c r="H20" s="19" t="n">
        <v>0</v>
      </c>
      <c r="I20" s="19" t="n">
        <v>0</v>
      </c>
      <c r="J20" s="19" t="n">
        <v>150</v>
      </c>
      <c r="K20" s="19" t="n">
        <v>0</v>
      </c>
      <c r="L20" s="19" t="n">
        <v>0</v>
      </c>
      <c r="M20" s="19" t="n">
        <v>0</v>
      </c>
      <c r="N20" s="19" t="n">
        <v>150</v>
      </c>
      <c r="O20" s="19" t="n">
        <v>0</v>
      </c>
    </row>
    <row r="21">
      <c r="B21" s="20" t="inlineStr">
        <is>
          <t>Total disbursements</t>
        </is>
      </c>
      <c r="C21" s="21">
        <f>SUM(C15:C20)</f>
        <v/>
      </c>
      <c r="D21" s="21">
        <f>SUM(D15:D20)</f>
        <v/>
      </c>
      <c r="E21" s="21">
        <f>SUM(E15:E20)</f>
        <v/>
      </c>
      <c r="F21" s="21">
        <f>SUM(F15:F20)</f>
        <v/>
      </c>
      <c r="G21" s="21">
        <f>SUM(G15:G20)</f>
        <v/>
      </c>
      <c r="H21" s="21">
        <f>SUM(H15:H20)</f>
        <v/>
      </c>
      <c r="I21" s="21">
        <f>SUM(I15:I20)</f>
        <v/>
      </c>
      <c r="J21" s="21">
        <f>SUM(J15:J20)</f>
        <v/>
      </c>
      <c r="K21" s="21">
        <f>SUM(K15:K20)</f>
        <v/>
      </c>
      <c r="L21" s="21">
        <f>SUM(L15:L20)</f>
        <v/>
      </c>
      <c r="M21" s="21">
        <f>SUM(M15:M20)</f>
        <v/>
      </c>
      <c r="N21" s="21">
        <f>SUM(N15:N20)</f>
        <v/>
      </c>
      <c r="O21" s="21">
        <f>SUM(O15:O20)</f>
        <v/>
      </c>
    </row>
    <row r="22">
      <c r="B22" s="14" t="inlineStr">
        <is>
          <t>Net cash flow</t>
        </is>
      </c>
      <c r="C22" s="15">
        <f>C13-C21</f>
        <v/>
      </c>
      <c r="D22" s="15">
        <f>D13-D21</f>
        <v/>
      </c>
      <c r="E22" s="15">
        <f>E13-E21</f>
        <v/>
      </c>
      <c r="F22" s="15">
        <f>F13-F21</f>
        <v/>
      </c>
      <c r="G22" s="15">
        <f>G13-G21</f>
        <v/>
      </c>
      <c r="H22" s="15">
        <f>H13-H21</f>
        <v/>
      </c>
      <c r="I22" s="15">
        <f>I13-I21</f>
        <v/>
      </c>
      <c r="J22" s="15">
        <f>J13-J21</f>
        <v/>
      </c>
      <c r="K22" s="15">
        <f>K13-K21</f>
        <v/>
      </c>
      <c r="L22" s="15">
        <f>L13-L21</f>
        <v/>
      </c>
      <c r="M22" s="15">
        <f>M13-M21</f>
        <v/>
      </c>
      <c r="N22" s="15">
        <f>N13-N21</f>
        <v/>
      </c>
      <c r="O22" s="15">
        <f>O13-O21</f>
        <v/>
      </c>
    </row>
    <row r="23">
      <c r="B23" s="20" t="inlineStr">
        <is>
          <t>Closing cash</t>
        </is>
      </c>
      <c r="C23" s="21">
        <f>C9+C22</f>
        <v/>
      </c>
      <c r="D23" s="21">
        <f>D9+D22</f>
        <v/>
      </c>
      <c r="E23" s="21">
        <f>E9+E22</f>
        <v/>
      </c>
      <c r="F23" s="21">
        <f>F9+F22</f>
        <v/>
      </c>
      <c r="G23" s="21">
        <f>G9+G22</f>
        <v/>
      </c>
      <c r="H23" s="21">
        <f>H9+H22</f>
        <v/>
      </c>
      <c r="I23" s="21">
        <f>I9+I22</f>
        <v/>
      </c>
      <c r="J23" s="21">
        <f>J9+J22</f>
        <v/>
      </c>
      <c r="K23" s="21">
        <f>K9+K22</f>
        <v/>
      </c>
      <c r="L23" s="21">
        <f>L9+L22</f>
        <v/>
      </c>
      <c r="M23" s="21">
        <f>M9+M22</f>
        <v/>
      </c>
      <c r="N23" s="21">
        <f>N9+N22</f>
        <v/>
      </c>
      <c r="O23" s="21">
        <f>O9+O22</f>
        <v/>
      </c>
    </row>
    <row r="24">
      <c r="B24" s="22" t="inlineStr">
        <is>
          <t>Minimum cash</t>
        </is>
      </c>
      <c r="C24" s="23">
        <f>$C$5</f>
        <v/>
      </c>
      <c r="D24" s="23">
        <f>$C$5</f>
        <v/>
      </c>
      <c r="E24" s="23">
        <f>$C$5</f>
        <v/>
      </c>
      <c r="F24" s="23">
        <f>$C$5</f>
        <v/>
      </c>
      <c r="G24" s="23">
        <f>$C$5</f>
        <v/>
      </c>
      <c r="H24" s="23">
        <f>$C$5</f>
        <v/>
      </c>
      <c r="I24" s="23">
        <f>$C$5</f>
        <v/>
      </c>
      <c r="J24" s="23">
        <f>$C$5</f>
        <v/>
      </c>
      <c r="K24" s="23">
        <f>$C$5</f>
        <v/>
      </c>
      <c r="L24" s="23">
        <f>$C$5</f>
        <v/>
      </c>
      <c r="M24" s="23">
        <f>$C$5</f>
        <v/>
      </c>
      <c r="N24" s="23">
        <f>$C$5</f>
        <v/>
      </c>
      <c r="O24" s="23">
        <f>$C$5</f>
        <v/>
      </c>
    </row>
    <row r="25">
      <c r="B25" s="22" t="inlineStr">
        <is>
          <t>Undrawn revolver</t>
        </is>
      </c>
      <c r="C25" s="23">
        <f>$C$6</f>
        <v/>
      </c>
      <c r="D25" s="23">
        <f>$C$6</f>
        <v/>
      </c>
      <c r="E25" s="23">
        <f>$C$6</f>
        <v/>
      </c>
      <c r="F25" s="23">
        <f>$C$6</f>
        <v/>
      </c>
      <c r="G25" s="23">
        <f>$C$6</f>
        <v/>
      </c>
      <c r="H25" s="23">
        <f>$C$6</f>
        <v/>
      </c>
      <c r="I25" s="23">
        <f>$C$6</f>
        <v/>
      </c>
      <c r="J25" s="23">
        <f>$C$6</f>
        <v/>
      </c>
      <c r="K25" s="23">
        <f>$C$6</f>
        <v/>
      </c>
      <c r="L25" s="23">
        <f>$C$6</f>
        <v/>
      </c>
      <c r="M25" s="23">
        <f>$C$6</f>
        <v/>
      </c>
      <c r="N25" s="23">
        <f>$C$6</f>
        <v/>
      </c>
      <c r="O25" s="23">
        <f>$C$6</f>
        <v/>
      </c>
    </row>
    <row r="26">
      <c r="B26" s="14" t="inlineStr">
        <is>
          <t>Total liquidity</t>
        </is>
      </c>
      <c r="C26" s="15">
        <f>C23+C25</f>
        <v/>
      </c>
      <c r="D26" s="15">
        <f>D23+D25</f>
        <v/>
      </c>
      <c r="E26" s="15">
        <f>E23+E25</f>
        <v/>
      </c>
      <c r="F26" s="15">
        <f>F23+F25</f>
        <v/>
      </c>
      <c r="G26" s="15">
        <f>G23+G25</f>
        <v/>
      </c>
      <c r="H26" s="15">
        <f>H23+H25</f>
        <v/>
      </c>
      <c r="I26" s="15">
        <f>I23+I25</f>
        <v/>
      </c>
      <c r="J26" s="15">
        <f>J23+J25</f>
        <v/>
      </c>
      <c r="K26" s="15">
        <f>K23+K25</f>
        <v/>
      </c>
      <c r="L26" s="15">
        <f>L23+L25</f>
        <v/>
      </c>
      <c r="M26" s="15">
        <f>M23+M25</f>
        <v/>
      </c>
      <c r="N26" s="15">
        <f>N23+N25</f>
        <v/>
      </c>
      <c r="O26" s="15">
        <f>O23+O25</f>
        <v/>
      </c>
    </row>
    <row r="27">
      <c r="B27" s="22" t="inlineStr">
        <is>
          <t>Headroom vs minimum</t>
        </is>
      </c>
      <c r="C27" s="23">
        <f>C23-C24</f>
        <v/>
      </c>
      <c r="D27" s="23">
        <f>D23-D24</f>
        <v/>
      </c>
      <c r="E27" s="23">
        <f>E23-E24</f>
        <v/>
      </c>
      <c r="F27" s="23">
        <f>F23-F24</f>
        <v/>
      </c>
      <c r="G27" s="23">
        <f>G23-G24</f>
        <v/>
      </c>
      <c r="H27" s="23">
        <f>H23-H24</f>
        <v/>
      </c>
      <c r="I27" s="23">
        <f>I23-I24</f>
        <v/>
      </c>
      <c r="J27" s="23">
        <f>J23-J24</f>
        <v/>
      </c>
      <c r="K27" s="23">
        <f>K23-K24</f>
        <v/>
      </c>
      <c r="L27" s="23">
        <f>L23-L24</f>
        <v/>
      </c>
      <c r="M27" s="23">
        <f>M23-M24</f>
        <v/>
      </c>
      <c r="N27" s="23">
        <f>N23-N24</f>
        <v/>
      </c>
      <c r="O27" s="23">
        <f>O23-O24</f>
        <v/>
      </c>
    </row>
    <row r="28">
      <c r="B28" s="22" t="inlineStr">
        <is>
          <t>Status</t>
        </is>
      </c>
      <c r="C28" s="24">
        <f>IF(C23&lt;C24,"BREACH","OK")</f>
        <v/>
      </c>
      <c r="D28" s="24">
        <f>IF(D23&lt;D24,"BREACH","OK")</f>
        <v/>
      </c>
      <c r="E28" s="24">
        <f>IF(E23&lt;E24,"BREACH","OK")</f>
        <v/>
      </c>
      <c r="F28" s="24">
        <f>IF(F23&lt;F24,"BREACH","OK")</f>
        <v/>
      </c>
      <c r="G28" s="24">
        <f>IF(G23&lt;G24,"BREACH","OK")</f>
        <v/>
      </c>
      <c r="H28" s="24">
        <f>IF(H23&lt;H24,"BREACH","OK")</f>
        <v/>
      </c>
      <c r="I28" s="24">
        <f>IF(I23&lt;I24,"BREACH","OK")</f>
        <v/>
      </c>
      <c r="J28" s="24">
        <f>IF(J23&lt;J24,"BREACH","OK")</f>
        <v/>
      </c>
      <c r="K28" s="24">
        <f>IF(K23&lt;K24,"BREACH","OK")</f>
        <v/>
      </c>
      <c r="L28" s="24">
        <f>IF(L23&lt;L24,"BREACH","OK")</f>
        <v/>
      </c>
      <c r="M28" s="24">
        <f>IF(M23&lt;M24,"BREACH","OK")</f>
        <v/>
      </c>
      <c r="N28" s="24">
        <f>IF(N23&lt;N24,"BREACH","OK")</f>
        <v/>
      </c>
      <c r="O28" s="24">
        <f>IF(O23&lt;O24,"BREACH","OK")</f>
        <v/>
      </c>
    </row>
    <row r="48" ht="20" customHeight="1">
      <c r="B48" s="25" t="inlineStr">
        <is>
          <t>Key insights (auto-generated)</t>
        </is>
      </c>
    </row>
    <row r="49" ht="26" customHeight="1">
      <c r="B49" s="26">
        <f>"Cash moves from €"&amp;TEXT(C9,"#,##0")&amp;"k to €"&amp;TEXT(O23,"#,##0")&amp;"k over 13 weeks; the low point is €"&amp;TEXT(MIN(C23:O23),"#,##0")&amp;"k."</f>
        <v/>
      </c>
    </row>
    <row r="50" ht="26" customHeight="1">
      <c r="B50" s="26">
        <f>"Total liquidity including the undrawn revolver never falls below €"&amp;TEXT(MIN(C26:O26),"#,##0")&amp;"k, well above the €"&amp;TEXT($C$5,"#,##0")&amp;"k minimum."</f>
        <v/>
      </c>
    </row>
    <row r="51" ht="26" customHeight="1">
      <c r="B51" s="26">
        <f>"Heavy weeks (payroll + rent + debt service, and the Week 6 tax and Week 8 capex) are the ones to manage with timing of supplier payments."</f>
        <v/>
      </c>
    </row>
  </sheetData>
  <mergeCells count="6">
    <mergeCell ref="B2:O2"/>
    <mergeCell ref="B3:O3"/>
    <mergeCell ref="B48:J48"/>
    <mergeCell ref="B49:L49"/>
    <mergeCell ref="B50:L50"/>
    <mergeCell ref="B51:L51"/>
  </mergeCells>
  <conditionalFormatting sqref="C28:O28">
    <cfRule type="expression" priority="1" dxfId="0">
      <formula>C28="BREACH"</formula>
    </cfRule>
    <cfRule type="expression" priority="2" dxfId="1">
      <formula>C28="OK"</formula>
    </cfRule>
  </conditionalFormatting>
  <conditionalFormatting sqref="C27:O27">
    <cfRule type="expression" priority="3" dxfId="2">
      <formula>C27&lt;0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2026-09-15T22:19:09Z</dcterms:created>
  <dcterms:modified xmlns:dcterms="http://purl.org/dc/terms/" xmlns:xsi="http://www.w3.org/2001/XMLSchema-instance" xsi:type="dcterms:W3CDTF">2026-09-15T22:19:09Z</dcterms:modified>
</cp:coreProperties>
</file>