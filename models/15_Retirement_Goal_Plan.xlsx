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"/>
    <numFmt numFmtId="165" formatCode="0.0%;(0.0%);&quot;-&quot;"/>
    <numFmt numFmtId="166" formatCode="€ #,##0;(€ #,##0)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" fontId="10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65" fontId="12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164" fontId="14" fillId="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vs required corpus (€)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'Plan'!$B$35:$B$36</f>
            </numRef>
          </cat>
          <val>
            <numRef>
              <f>'Plan'!$C$35:$C$36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15: Retirement &amp; Goal-Based Financial Plan</t>
        </is>
      </c>
    </row>
    <row r="6" ht="45" customHeight="1">
      <c r="B6" s="3" t="inlineStr">
        <is>
          <t>Purpose</t>
        </is>
      </c>
      <c r="C6" s="4" t="inlineStr">
        <is>
          <t>A client-facing plan: grow current savings plus monthly contributions to a retirement corpus, work out the corpus needed to fund a target income, and show the surplus or gap.</t>
        </is>
      </c>
    </row>
    <row r="7" ht="45" customHeight="1">
      <c r="B7" s="3" t="inlineStr">
        <is>
          <t>Techniques shown</t>
        </is>
      </c>
      <c r="C7" s="4" t="inlineStr">
        <is>
          <t>Future value of savings and contributions · required-corpus (annuity present value) · inflation-adjusted income · surplus / gap · funding ratio.</t>
        </is>
      </c>
    </row>
    <row r="8" ht="45" customHeight="1">
      <c r="B8" s="3" t="inlineStr">
        <is>
          <t>How to use</t>
        </is>
      </c>
      <c r="C8" s="4" t="inlineStr">
        <is>
          <t>Change the blue age, contribution, return or target-income inputs; the projected corpus, required corpus and gap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2" customWidth="1" min="4" max="4"/>
  </cols>
  <sheetData>
    <row r="2" ht="30" customHeight="1">
      <c r="B2" s="1" t="inlineStr">
        <is>
          <t>Retirement &amp; Goal-Based Plan</t>
        </is>
      </c>
    </row>
    <row r="3" ht="16" customHeight="1">
      <c r="B3" s="2" t="inlineStr">
        <is>
          <t>€ unless shown. Blue = input.</t>
        </is>
      </c>
    </row>
    <row r="5" ht="20" customHeight="1">
      <c r="B5" s="11" t="inlineStr">
        <is>
          <t>Client inputs</t>
        </is>
      </c>
    </row>
    <row r="6">
      <c r="B6" s="12" t="inlineStr">
        <is>
          <t>Current age</t>
        </is>
      </c>
      <c r="C6" s="13" t="n">
        <v>30</v>
      </c>
    </row>
    <row r="7">
      <c r="B7" s="12" t="inlineStr">
        <is>
          <t>Retirement age</t>
        </is>
      </c>
      <c r="C7" s="13" t="n">
        <v>60</v>
      </c>
    </row>
    <row r="8">
      <c r="B8" s="12" t="inlineStr">
        <is>
          <t>Years in retirement</t>
        </is>
      </c>
      <c r="C8" s="13" t="n">
        <v>25</v>
      </c>
    </row>
    <row r="9">
      <c r="B9" s="12" t="inlineStr">
        <is>
          <t>Current savings (€)</t>
        </is>
      </c>
      <c r="C9" s="14" t="n">
        <v>25000</v>
      </c>
    </row>
    <row r="10">
      <c r="B10" s="12" t="inlineStr">
        <is>
          <t>Monthly contribution (€)</t>
        </is>
      </c>
      <c r="C10" s="14" t="n">
        <v>600</v>
      </c>
    </row>
    <row r="11">
      <c r="B11" s="12" t="inlineStr">
        <is>
          <t>Expected return (accumulation)</t>
        </is>
      </c>
      <c r="C11" s="15" t="n">
        <v>0.07000000000000001</v>
      </c>
    </row>
    <row r="12">
      <c r="B12" s="12" t="inlineStr">
        <is>
          <t>Expected return (in retirement)</t>
        </is>
      </c>
      <c r="C12" s="15" t="n">
        <v>0.04</v>
      </c>
    </row>
    <row r="13">
      <c r="B13" s="12" t="inlineStr">
        <is>
          <t>Inflation</t>
        </is>
      </c>
      <c r="C13" s="15" t="n">
        <v>0.02</v>
      </c>
    </row>
    <row r="14">
      <c r="B14" s="12" t="inlineStr">
        <is>
          <t>Desired annual income today (€)</t>
        </is>
      </c>
      <c r="C14" s="14" t="n">
        <v>30000</v>
      </c>
    </row>
    <row r="16" ht="20" customHeight="1">
      <c r="B16" s="11" t="inlineStr">
        <is>
          <t>Accumulation to retirement</t>
        </is>
      </c>
    </row>
    <row r="17">
      <c r="B17" s="12" t="inlineStr">
        <is>
          <t>Years to retirement</t>
        </is>
      </c>
      <c r="C17" s="16">
        <f>C7-C6</f>
        <v/>
      </c>
    </row>
    <row r="18">
      <c r="B18" s="12" t="inlineStr">
        <is>
          <t>Months to retirement</t>
        </is>
      </c>
      <c r="C18" s="16">
        <f>C17*12</f>
        <v/>
      </c>
    </row>
    <row r="19">
      <c r="B19" s="12" t="inlineStr">
        <is>
          <t>Monthly return</t>
        </is>
      </c>
      <c r="C19" s="17">
        <f>C11/12</f>
        <v/>
      </c>
    </row>
    <row r="20">
      <c r="B20" s="12" t="inlineStr">
        <is>
          <t>FV of current savings (€)</t>
        </is>
      </c>
      <c r="C20" s="18">
        <f>C9*POWER(1+C11,C17)</f>
        <v/>
      </c>
    </row>
    <row r="21">
      <c r="B21" s="12" t="inlineStr">
        <is>
          <t>FV of contributions (€)</t>
        </is>
      </c>
      <c r="C21" s="18">
        <f>C10*((POWER(1+C19,C18)-1)/C19)</f>
        <v/>
      </c>
    </row>
    <row r="22">
      <c r="B22" s="19" t="inlineStr">
        <is>
          <t>Projected corpus at retirement (€)</t>
        </is>
      </c>
      <c r="C22" s="20">
        <f>C20+C21</f>
        <v/>
      </c>
    </row>
    <row r="24" ht="20" customHeight="1">
      <c r="B24" s="11" t="inlineStr">
        <is>
          <t>Required corpus</t>
        </is>
      </c>
    </row>
    <row r="25">
      <c r="B25" s="12" t="inlineStr">
        <is>
          <t>Income needed at retirement (€)</t>
        </is>
      </c>
      <c r="C25" s="18">
        <f>C14*POWER(1+C13,C17)</f>
        <v/>
      </c>
    </row>
    <row r="26">
      <c r="B26" s="12" t="inlineStr">
        <is>
          <t>Real return in retirement</t>
        </is>
      </c>
      <c r="C26" s="17">
        <f>(1+C12)/(1+C13)-1</f>
        <v/>
      </c>
    </row>
    <row r="27">
      <c r="B27" s="19" t="inlineStr">
        <is>
          <t>Required corpus (€)</t>
        </is>
      </c>
      <c r="C27" s="20">
        <f>C25*(1-POWER(1+C26,-C8))/C26</f>
        <v/>
      </c>
    </row>
    <row r="29" ht="20" customHeight="1">
      <c r="B29" s="11" t="inlineStr">
        <is>
          <t>Result</t>
        </is>
      </c>
    </row>
    <row r="30">
      <c r="B30" s="19" t="inlineStr">
        <is>
          <t>Surplus / (gap) (€)</t>
        </is>
      </c>
      <c r="C30" s="21">
        <f>C22-C27</f>
        <v/>
      </c>
    </row>
    <row r="31">
      <c r="B31" s="22" t="inlineStr">
        <is>
          <t>Funding ratio</t>
        </is>
      </c>
      <c r="C31" s="23">
        <f>C22/C27</f>
        <v/>
      </c>
    </row>
    <row r="32">
      <c r="B32" s="19" t="inlineStr">
        <is>
          <t>Status</t>
        </is>
      </c>
      <c r="C32" s="24">
        <f>IF(C30&gt;=0,"ON TRACK","SHORTFALL")</f>
        <v/>
      </c>
    </row>
    <row r="35">
      <c r="B35" s="25" t="inlineStr">
        <is>
          <t>Projected</t>
        </is>
      </c>
      <c r="C35" s="26">
        <f>C22</f>
        <v/>
      </c>
    </row>
    <row r="36">
      <c r="B36" s="25" t="inlineStr">
        <is>
          <t>Required</t>
        </is>
      </c>
      <c r="C36" s="26">
        <f>C27</f>
        <v/>
      </c>
    </row>
    <row r="38" ht="20" customHeight="1">
      <c r="B38" s="11" t="inlineStr">
        <is>
          <t>Key insight (auto-generated)</t>
        </is>
      </c>
    </row>
    <row r="39" ht="42" customHeight="1">
      <c r="B39" s="27">
        <f>"On current settings the plan reaches €"&amp;TEXT(C22,"#,##0")&amp;" against a required €"&amp;TEXT(C27,"#,##0")&amp;", a funding ratio of "&amp;TEXT(C31,"0%")&amp;" ("&amp;C32&amp;")."</f>
        <v/>
      </c>
    </row>
  </sheetData>
  <mergeCells count="8">
    <mergeCell ref="B2:C2"/>
    <mergeCell ref="B3:C3"/>
    <mergeCell ref="B5:C5"/>
    <mergeCell ref="B16:C16"/>
    <mergeCell ref="B24:C24"/>
    <mergeCell ref="B29:C29"/>
    <mergeCell ref="B38:C38"/>
    <mergeCell ref="B39:C3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2026-09-07T20:54:14Z</dcterms:created>
  <dcterms:modified xmlns:dcterms="http://purl.org/dc/terms/" xmlns:xsi="http://www.w3.org/2001/XMLSchema-instance" xsi:type="dcterms:W3CDTF">2026-09-07T20:54:14Z</dcterms:modified>
</cp:coreProperties>
</file>