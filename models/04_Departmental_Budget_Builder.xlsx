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dget Buil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&quot;-&quot;"/>
    <numFmt numFmtId="165" formatCode="#,##0;(#,##0);&quot;-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color rgb="000000FF"/>
      <sz val="10"/>
    </font>
    <font>
      <name val="Arial"/>
      <i val="1"/>
      <color rgb="006B7280"/>
      <sz val="9"/>
    </font>
    <font>
      <name val="Arial"/>
      <b val="1"/>
      <color rgb="00FFFFFF"/>
      <sz val="8.5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B7280"/>
      <sz val="8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165" fontId="9" fillId="4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65" fontId="13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165" fontId="14" fillId="2" borderId="1" applyAlignment="1" pivotButton="0" quotePrefix="0" xfId="0">
      <alignment horizontal="right" vertical="center"/>
    </xf>
    <xf numFmtId="164" fontId="14" fillId="2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rial"/>
        <b val="1"/>
        <color rgb="00C0392B"/>
      </font>
    </dxf>
    <dxf>
      <font>
        <name val="Arial"/>
        <b val="1"/>
        <color rgb="000F7A5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Budget by Department (€000)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Builder'!J7</f>
            </strRef>
          </tx>
          <spPr>
            <a:solidFill xmlns:a="http://schemas.openxmlformats.org/drawingml/2006/main">
              <a:srgbClr val="17B890"/>
            </a:solidFill>
            <a:ln xmlns:a="http://schemas.openxmlformats.org/drawingml/2006/main">
              <a:prstDash val="solid"/>
            </a:ln>
          </spPr>
          <cat>
            <numRef>
              <f>'Budget Builder'!$B$8:$B$13</f>
            </numRef>
          </cat>
          <val>
            <numRef>
              <f>'Budget Builder'!$J$8:$J$13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FP&amp;A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04: Departmental Operating Budget Builder (FY2026)</t>
        </is>
      </c>
    </row>
    <row r="6" ht="60" customHeight="1">
      <c r="B6" s="3" t="inlineStr">
        <is>
          <t>Purpose</t>
        </is>
      </c>
      <c r="C6" s="4" t="inlineStr">
        <is>
          <t>A bottom-up operating budget template: enter headcount, salary and discretionary spend per department and it rolls up to a company OpEx budget, with each department's share of spend and its change versus the prior year.</t>
        </is>
      </c>
    </row>
    <row r="7" ht="45" customHeight="1">
      <c r="B7" s="3" t="inlineStr">
        <is>
          <t>Techniques shown</t>
        </is>
      </c>
      <c r="C7" s="4" t="inlineStr">
        <is>
          <t>Headcount × salary × benefits-load personnel build · per-department cost stack · automatic company roll-up · % of total · YoY variance · reusable fill-in template · chart.</t>
        </is>
      </c>
    </row>
    <row r="8" ht="60" customHeight="1">
      <c r="B8" s="3" t="inlineStr">
        <is>
          <t>How to use</t>
        </is>
      </c>
      <c r="C8" s="4" t="inlineStr">
        <is>
          <t>Yellow cells are inputs. Change headcount, salaries, benefits load or any cost line and the department totals, company roll-up and YoY variance recompute. Add rows by copying a department block.</t>
        </is>
      </c>
    </row>
    <row r="9" ht="30" customHeight="1">
      <c r="B9" s="3" t="inlineStr">
        <is>
          <t>Currency / units</t>
        </is>
      </c>
      <c r="C9" s="4" t="inlineStr">
        <is>
          <t>All figures in EUR thousands (€000) unless stated.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1" customWidth="1" min="3" max="3"/>
    <col width="12" customWidth="1" min="4" max="4"/>
    <col width="13" customWidth="1" min="5" max="5"/>
    <col width="11" customWidth="1" min="6" max="6"/>
    <col width="12" customWidth="1" min="7" max="7"/>
    <col width="12" customWidth="1" min="8" max="8"/>
    <col width="11" customWidth="1" min="9" max="9"/>
    <col width="13" customWidth="1" min="10" max="10"/>
    <col width="13" customWidth="1" min="11" max="11"/>
    <col width="11" customWidth="1" min="12" max="12"/>
    <col width="2" customWidth="1" min="13" max="13"/>
  </cols>
  <sheetData>
    <row r="2" ht="30" customHeight="1">
      <c r="B2" s="1" t="inlineStr">
        <is>
          <t>FY2026 Operating Budget: Bottom-Up by Department</t>
        </is>
      </c>
    </row>
    <row r="3" ht="16" customHeight="1">
      <c r="B3" s="2" t="inlineStr">
        <is>
          <t>€000. Personnel = Headcount × Avg salary × (1 + benefits load). Yellow = input. Change anything and totals reflow.</t>
        </is>
      </c>
    </row>
    <row r="5">
      <c r="B5" s="5" t="inlineStr">
        <is>
          <t>Benefits &amp; on-costs load</t>
        </is>
      </c>
      <c r="C5" s="11" t="n">
        <v>0.22</v>
      </c>
      <c r="D5" s="12" t="inlineStr">
        <is>
          <t>applied to all salary costs</t>
        </is>
      </c>
    </row>
    <row r="7" ht="30" customHeight="1">
      <c r="B7" s="13" t="inlineStr">
        <is>
          <t>Department</t>
        </is>
      </c>
      <c r="C7" s="14" t="inlineStr">
        <is>
          <t>Head-count</t>
        </is>
      </c>
      <c r="D7" s="14" t="inlineStr">
        <is>
          <t>Avg salary</t>
        </is>
      </c>
      <c r="E7" s="14" t="inlineStr">
        <is>
          <t>Personnel</t>
        </is>
      </c>
      <c r="F7" s="14" t="inlineStr">
        <is>
          <t>Travel</t>
        </is>
      </c>
      <c r="G7" s="14" t="inlineStr">
        <is>
          <t>Software
&amp; tools</t>
        </is>
      </c>
      <c r="H7" s="14" t="inlineStr">
        <is>
          <t>Facilities</t>
        </is>
      </c>
      <c r="I7" s="14" t="inlineStr">
        <is>
          <t>Other</t>
        </is>
      </c>
      <c r="J7" s="14" t="inlineStr">
        <is>
          <t>Total budget</t>
        </is>
      </c>
      <c r="K7" s="14" t="inlineStr">
        <is>
          <t>% of total</t>
        </is>
      </c>
      <c r="L7" s="14" t="inlineStr">
        <is>
          <t>Prior-year</t>
        </is>
      </c>
      <c r="M7" s="14" t="inlineStr">
        <is>
          <t>YoY var €</t>
        </is>
      </c>
    </row>
    <row r="8">
      <c r="B8" s="15" t="inlineStr">
        <is>
          <t>Sales</t>
        </is>
      </c>
      <c r="C8" s="16" t="n">
        <v>24</v>
      </c>
      <c r="D8" s="16" t="n">
        <v>62</v>
      </c>
      <c r="E8" s="17">
        <f>C8*D8*(1+$C$5)</f>
        <v/>
      </c>
      <c r="F8" s="16" t="n">
        <v>240</v>
      </c>
      <c r="G8" s="16" t="n">
        <v>90</v>
      </c>
      <c r="H8" s="16" t="n">
        <v>180</v>
      </c>
      <c r="I8" s="16" t="n">
        <v>120</v>
      </c>
      <c r="J8" s="18">
        <f>E8+SUM(F8:I8)</f>
        <v/>
      </c>
      <c r="K8" s="19">
        <f>J8/$J$14</f>
        <v/>
      </c>
      <c r="L8" s="16" t="n">
        <v>2380</v>
      </c>
      <c r="M8" s="17">
        <f>J8-L8</f>
        <v/>
      </c>
    </row>
    <row r="9">
      <c r="B9" s="20" t="inlineStr">
        <is>
          <t>Marketing</t>
        </is>
      </c>
      <c r="C9" s="16" t="n">
        <v>12</v>
      </c>
      <c r="D9" s="16" t="n">
        <v>58</v>
      </c>
      <c r="E9" s="21">
        <f>C9*D9*(1+$C$5)</f>
        <v/>
      </c>
      <c r="F9" s="16" t="n">
        <v>90</v>
      </c>
      <c r="G9" s="16" t="n">
        <v>160</v>
      </c>
      <c r="H9" s="16" t="n">
        <v>90</v>
      </c>
      <c r="I9" s="16" t="n">
        <v>380</v>
      </c>
      <c r="J9" s="22">
        <f>E9+SUM(F9:I9)</f>
        <v/>
      </c>
      <c r="K9" s="23">
        <f>J9/$J$14</f>
        <v/>
      </c>
      <c r="L9" s="16" t="n">
        <v>1500</v>
      </c>
      <c r="M9" s="21">
        <f>J9-L9</f>
        <v/>
      </c>
    </row>
    <row r="10">
      <c r="B10" s="15" t="inlineStr">
        <is>
          <t>R&amp;D</t>
        </is>
      </c>
      <c r="C10" s="16" t="n">
        <v>18</v>
      </c>
      <c r="D10" s="16" t="n">
        <v>70</v>
      </c>
      <c r="E10" s="17">
        <f>C10*D10*(1+$C$5)</f>
        <v/>
      </c>
      <c r="F10" s="16" t="n">
        <v>40</v>
      </c>
      <c r="G10" s="16" t="n">
        <v>220</v>
      </c>
      <c r="H10" s="16" t="n">
        <v>120</v>
      </c>
      <c r="I10" s="16" t="n">
        <v>80</v>
      </c>
      <c r="J10" s="18">
        <f>E10+SUM(F10:I10)</f>
        <v/>
      </c>
      <c r="K10" s="19">
        <f>J10/$J$14</f>
        <v/>
      </c>
      <c r="L10" s="16" t="n">
        <v>1900</v>
      </c>
      <c r="M10" s="17">
        <f>J10-L10</f>
        <v/>
      </c>
    </row>
    <row r="11">
      <c r="B11" s="20" t="inlineStr">
        <is>
          <t>Operations</t>
        </is>
      </c>
      <c r="C11" s="16" t="n">
        <v>40</v>
      </c>
      <c r="D11" s="16" t="n">
        <v>45</v>
      </c>
      <c r="E11" s="21">
        <f>C11*D11*(1+$C$5)</f>
        <v/>
      </c>
      <c r="F11" s="16" t="n">
        <v>60</v>
      </c>
      <c r="G11" s="16" t="n">
        <v>110</v>
      </c>
      <c r="H11" s="16" t="n">
        <v>300</v>
      </c>
      <c r="I11" s="16" t="n">
        <v>260</v>
      </c>
      <c r="J11" s="22">
        <f>E11+SUM(F11:I11)</f>
        <v/>
      </c>
      <c r="K11" s="23">
        <f>J11/$J$14</f>
        <v/>
      </c>
      <c r="L11" s="16" t="n">
        <v>2850</v>
      </c>
      <c r="M11" s="21">
        <f>J11-L11</f>
        <v/>
      </c>
    </row>
    <row r="12">
      <c r="B12" s="15" t="inlineStr">
        <is>
          <t>Finance &amp; Admin</t>
        </is>
      </c>
      <c r="C12" s="16" t="n">
        <v>10</v>
      </c>
      <c r="D12" s="16" t="n">
        <v>66</v>
      </c>
      <c r="E12" s="17">
        <f>C12*D12*(1+$C$5)</f>
        <v/>
      </c>
      <c r="F12" s="16" t="n">
        <v>20</v>
      </c>
      <c r="G12" s="16" t="n">
        <v>140</v>
      </c>
      <c r="H12" s="16" t="n">
        <v>80</v>
      </c>
      <c r="I12" s="16" t="n">
        <v>60</v>
      </c>
      <c r="J12" s="18">
        <f>E12+SUM(F12:I12)</f>
        <v/>
      </c>
      <c r="K12" s="19">
        <f>J12/$J$14</f>
        <v/>
      </c>
      <c r="L12" s="16" t="n">
        <v>1060</v>
      </c>
      <c r="M12" s="17">
        <f>J12-L12</f>
        <v/>
      </c>
    </row>
    <row r="13">
      <c r="B13" s="20" t="inlineStr">
        <is>
          <t>IT</t>
        </is>
      </c>
      <c r="C13" s="16" t="n">
        <v>8</v>
      </c>
      <c r="D13" s="16" t="n">
        <v>72</v>
      </c>
      <c r="E13" s="21">
        <f>C13*D13*(1+$C$5)</f>
        <v/>
      </c>
      <c r="F13" s="16" t="n">
        <v>20</v>
      </c>
      <c r="G13" s="16" t="n">
        <v>420</v>
      </c>
      <c r="H13" s="16" t="n">
        <v>60</v>
      </c>
      <c r="I13" s="16" t="n">
        <v>90</v>
      </c>
      <c r="J13" s="22">
        <f>E13+SUM(F13:I13)</f>
        <v/>
      </c>
      <c r="K13" s="23">
        <f>J13/$J$14</f>
        <v/>
      </c>
      <c r="L13" s="16" t="n">
        <v>1230</v>
      </c>
      <c r="M13" s="21">
        <f>J13-L13</f>
        <v/>
      </c>
    </row>
    <row r="14">
      <c r="B14" s="24" t="inlineStr">
        <is>
          <t>Company total</t>
        </is>
      </c>
      <c r="C14" s="25">
        <f>SUM(C8:C13)</f>
        <v/>
      </c>
      <c r="D14" s="25">
        <f>IFERROR(E14/(C14*(1+$C$5)),0)</f>
        <v/>
      </c>
      <c r="E14" s="25">
        <f>SUM(E8:E13)</f>
        <v/>
      </c>
      <c r="F14" s="25">
        <f>SUM(F8:F13)</f>
        <v/>
      </c>
      <c r="G14" s="25">
        <f>SUM(G8:G13)</f>
        <v/>
      </c>
      <c r="H14" s="25">
        <f>SUM(H8:H13)</f>
        <v/>
      </c>
      <c r="I14" s="25">
        <f>SUM(I8:I13)</f>
        <v/>
      </c>
      <c r="J14" s="25">
        <f>SUM(J8:J13)</f>
        <v/>
      </c>
      <c r="K14" s="26">
        <f>J14/$J$14</f>
        <v/>
      </c>
      <c r="L14" s="25">
        <f>SUM(L8:L13)</f>
        <v/>
      </c>
      <c r="M14" s="25">
        <f>J14-L14</f>
        <v/>
      </c>
    </row>
    <row r="16">
      <c r="H16" s="27" t="inlineStr">
        <is>
          <t>Template: to add a department, copy any dept row (keeps the personnel &amp; total formulas) and edit the yellow inputs.</t>
        </is>
      </c>
    </row>
    <row r="17">
      <c r="H17" s="27" t="inlineStr">
        <is>
          <t>Personnel is derived, so do not overwrite column E. Prior-year is an input for the YoY variance check.</t>
        </is>
      </c>
    </row>
  </sheetData>
  <mergeCells count="2">
    <mergeCell ref="B2:L2"/>
    <mergeCell ref="B3:L3"/>
  </mergeCells>
  <conditionalFormatting sqref="M8:M13">
    <cfRule type="expression" priority="1" dxfId="0">
      <formula>M8&gt;0</formula>
    </cfRule>
    <cfRule type="expression" priority="2" dxfId="1">
      <formula>M8&lt;0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2026-08-09T17:43:18Z</dcterms:created>
  <dcterms:modified xmlns:dcterms="http://purl.org/dc/terms/" xmlns:xsi="http://www.w3.org/2001/XMLSchema-instance" xsi:type="dcterms:W3CDTF">2026-08-09T17:43:18Z</dcterms:modified>
</cp:coreProperties>
</file>