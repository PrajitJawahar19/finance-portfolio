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(#,##0.0);&quot;-&quot;"/>
    <numFmt numFmtId="165" formatCode="0.0%;(0.0%);&quot;-&quot;"/>
    <numFmt numFmtId="166" formatCode="€ #,##0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8000"/>
      <sz val="9"/>
    </font>
    <font>
      <name val="Arial"/>
      <b val="1"/>
      <color rgb="001F3A5F"/>
      <sz val="11"/>
    </font>
    <font>
      <name val="Arial"/>
      <b val="1"/>
      <color rgb="000000FF"/>
      <sz val="10"/>
    </font>
    <font>
      <name val="Arial"/>
      <b val="1"/>
      <color rgb="00222222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FFFFFF"/>
      <sz val="8.5"/>
    </font>
    <font>
      <name val="Arial"/>
      <i val="1"/>
      <color rgb="000000FF"/>
      <sz val="9"/>
    </font>
    <font>
      <name val="Arial"/>
      <i val="1"/>
      <color rgb="006B7280"/>
      <sz val="9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1F3A5F"/>
      <sz val="9"/>
    </font>
    <font>
      <name val="Arial"/>
      <color rgb="00008000"/>
      <sz val="10"/>
    </font>
    <font>
      <name val="Arial"/>
      <color rgb="00333333"/>
      <sz val="9.5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17B890"/>
      </patternFill>
    </fill>
    <fill>
      <patternFill patternType="solid">
        <fgColor rgb="00EAF0F6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10" fillId="4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right" vertical="center"/>
    </xf>
    <xf numFmtId="166" fontId="10" fillId="4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left" vertical="center"/>
    </xf>
    <xf numFmtId="164" fontId="11" fillId="0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left" vertical="center"/>
    </xf>
    <xf numFmtId="164" fontId="12" fillId="5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/>
    </xf>
    <xf numFmtId="165" fontId="15" fillId="4" borderId="1" applyAlignment="1" pivotButton="0" quotePrefix="0" xfId="0">
      <alignment horizontal="center" vertical="center"/>
    </xf>
    <xf numFmtId="165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/>
    </xf>
    <xf numFmtId="0" fontId="18" fillId="4" borderId="1" applyAlignment="1" pivotButton="0" quotePrefix="0" xfId="0">
      <alignment horizontal="center" vertical="center"/>
    </xf>
    <xf numFmtId="2" fontId="3" fillId="6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  <xf numFmtId="165" fontId="18" fillId="4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left" vertical="center"/>
    </xf>
    <xf numFmtId="164" fontId="12" fillId="2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center" vertical="center"/>
    </xf>
    <xf numFmtId="165" fontId="18" fillId="4" borderId="1" applyAlignment="1" pivotButton="0" quotePrefix="0" xfId="0">
      <alignment horizontal="center" vertical="center"/>
    </xf>
    <xf numFmtId="2" fontId="19" fillId="0" borderId="1" applyAlignment="1" pivotButton="0" quotePrefix="0" xfId="0">
      <alignment horizontal="center" vertical="center"/>
    </xf>
    <xf numFmtId="0" fontId="19" fillId="5" borderId="1" applyAlignment="1" pivotButton="0" quotePrefix="0" xfId="0">
      <alignment vertical="center"/>
    </xf>
    <xf numFmtId="2" fontId="20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1" applyAlignment="1" pivotButton="0" quotePrefix="0" xfId="0">
      <alignment horizontal="right" vertical="center"/>
    </xf>
    <xf numFmtId="0" fontId="2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Market sizing (€M)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7B890"/>
            </a:solidFill>
            <a:ln xmlns:a="http://schemas.openxmlformats.org/drawingml/2006/main">
              <a:prstDash val="solid"/>
            </a:ln>
          </spPr>
          <cat>
            <numRef>
              <f>'Market Analysis'!$B$40:$B$42</f>
            </numRef>
          </cat>
          <val>
            <numRef>
              <f>'Market Analysis'!$C$40:$C$42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Competitor weighted scores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2E5A88"/>
            </a:solidFill>
            <a:ln xmlns:a="http://schemas.openxmlformats.org/drawingml/2006/main">
              <a:prstDash val="solid"/>
            </a:ln>
          </spPr>
          <cat>
            <numRef>
              <f>'Market Analysis'!$B$18:$B$22</f>
            </numRef>
          </cat>
          <val>
            <numRef>
              <f>'Market Analysis'!$H$18:$H$22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28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16</row>
      <rowOff>0</rowOff>
    </from>
    <ext cx="28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CONSUMER GmbH  ·  Sample Model</t>
        </is>
      </c>
    </row>
    <row r="3" ht="16" customHeight="1">
      <c r="B3" s="2" t="inlineStr">
        <is>
          <t>Illustrative portfolio project. Prepared by Prajit Jawahar</t>
        </is>
      </c>
    </row>
    <row r="5" ht="30" customHeight="1">
      <c r="B5" s="3" t="inlineStr">
        <is>
          <t>Model</t>
        </is>
      </c>
      <c r="C5" s="4" t="inlineStr">
        <is>
          <t>09: Market Entry Analysis (TAM / SAM / SOM)</t>
        </is>
      </c>
    </row>
    <row r="6" ht="60" customHeight="1">
      <c r="B6" s="3" t="inlineStr">
        <is>
          <t>Purpose</t>
        </is>
      </c>
      <c r="C6" s="4" t="inlineStr">
        <is>
          <t>Assess a new market for Helios: size the opportunity top-down (TAM/SAM/SOM), benchmark competitors on a weighted scorecard, project a three-year revenue ramp, and land a go / no-go recommendation.</t>
        </is>
      </c>
    </row>
    <row r="7" ht="45" customHeight="1">
      <c r="B7" s="3" t="inlineStr">
        <is>
          <t>Techniques shown</t>
        </is>
      </c>
      <c r="C7" s="4" t="inlineStr">
        <is>
          <t>Market sizing (TAM/SAM/SOM) · weighted competitor scorecard · revenue-ramp projection · weighted go/no-go decision score.</t>
        </is>
      </c>
    </row>
    <row r="8" ht="45" customHeight="1">
      <c r="B8" s="3" t="inlineStr">
        <is>
          <t>How to use</t>
        </is>
      </c>
      <c r="C8" s="4" t="inlineStr">
        <is>
          <t>Change the blue market inputs, competitor scores/weights or ramp assumptions; sizing, scores, revenue and the recommendation update.</t>
        </is>
      </c>
    </row>
    <row r="9" ht="30" customHeight="1">
      <c r="B9" s="3" t="inlineStr">
        <is>
          <t>Currency / units</t>
        </is>
      </c>
      <c r="C9" s="4" t="inlineStr">
        <is>
          <t>See each sheet header for units.</t>
        </is>
      </c>
    </row>
    <row r="10" ht="30" customHeight="1">
      <c r="B10" s="3" t="inlineStr">
        <is>
          <t>Data</t>
        </is>
      </c>
      <c r="C10" s="4" t="inlineStr">
        <is>
          <t>Sample / illustrative figures for a fictional company. Not real financials.</t>
        </is>
      </c>
    </row>
    <row r="12">
      <c r="B12" s="5" t="inlineStr">
        <is>
          <t>Colour key</t>
        </is>
      </c>
    </row>
    <row r="13">
      <c r="B13" s="6" t="inlineStr">
        <is>
          <t xml:space="preserve">  Blue text</t>
        </is>
      </c>
      <c r="C13" s="7" t="inlineStr">
        <is>
          <t>Hard-coded input / assumption you can change</t>
        </is>
      </c>
    </row>
    <row r="14">
      <c r="B14" s="8" t="inlineStr">
        <is>
          <t xml:space="preserve">  Black text</t>
        </is>
      </c>
      <c r="C14" s="7" t="inlineStr">
        <is>
          <t>Formula, recalculates automatically</t>
        </is>
      </c>
    </row>
    <row r="15">
      <c r="B15" s="9" t="inlineStr">
        <is>
          <t xml:space="preserve">  Green text</t>
        </is>
      </c>
      <c r="C15" s="7" t="inlineStr">
        <is>
          <t>Links to another sheet</t>
        </is>
      </c>
    </row>
    <row r="16">
      <c r="B16" s="10" t="inlineStr">
        <is>
          <t xml:space="preserve">  Yellow fill</t>
        </is>
      </c>
      <c r="C16" s="7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" customWidth="1" min="8" max="8"/>
  </cols>
  <sheetData>
    <row r="2" ht="30" customHeight="1">
      <c r="B2" s="1" t="inlineStr">
        <is>
          <t>Market Entry: Smart-Home Devices, DACH region</t>
        </is>
      </c>
    </row>
    <row r="3" ht="16" customHeight="1">
      <c r="B3" s="2" t="inlineStr">
        <is>
          <t>All monetary figures in € millions (€M). Blue = input.</t>
        </is>
      </c>
    </row>
    <row r="5" ht="20" customHeight="1">
      <c r="B5" s="11" t="inlineStr">
        <is>
          <t>Market sizing (top-down)</t>
        </is>
      </c>
    </row>
    <row r="6">
      <c r="B6" s="12" t="inlineStr">
        <is>
          <t>DACH households (M)</t>
        </is>
      </c>
      <c r="C6" s="13" t="n">
        <v>41</v>
      </c>
    </row>
    <row r="7">
      <c r="B7" s="12" t="inlineStr">
        <is>
          <t>Category penetration (%)</t>
        </is>
      </c>
      <c r="C7" s="14" t="n">
        <v>0.25</v>
      </c>
    </row>
    <row r="8">
      <c r="B8" s="12" t="inlineStr">
        <is>
          <t>Average annual spend (€/household)</t>
        </is>
      </c>
      <c r="C8" s="15" t="n">
        <v>180</v>
      </c>
    </row>
    <row r="9">
      <c r="B9" s="16" t="inlineStr">
        <is>
          <t>TAM — Total addressable market (€M)</t>
        </is>
      </c>
      <c r="C9" s="17">
        <f>C6*C7*C8</f>
        <v/>
      </c>
    </row>
    <row r="10">
      <c r="B10" s="12" t="inlineStr">
        <is>
          <t>Serviceable share of TAM (%)</t>
        </is>
      </c>
      <c r="C10" s="14" t="n">
        <v>0.35</v>
      </c>
    </row>
    <row r="11">
      <c r="B11" s="16" t="inlineStr">
        <is>
          <t>SAM — Serviceable available market (€M)</t>
        </is>
      </c>
      <c r="C11" s="17">
        <f>C9*C10</f>
        <v/>
      </c>
    </row>
    <row r="12">
      <c r="B12" s="12" t="inlineStr">
        <is>
          <t>Attainable share of SAM, 3-yr (%)</t>
        </is>
      </c>
      <c r="C12" s="14" t="n">
        <v>0.08</v>
      </c>
    </row>
    <row r="13">
      <c r="B13" s="18" t="inlineStr">
        <is>
          <t>SOM — Serviceable obtainable market (€M)</t>
        </is>
      </c>
      <c r="C13" s="19">
        <f>C11*C12</f>
        <v/>
      </c>
    </row>
    <row r="15" ht="20" customHeight="1">
      <c r="B15" s="11" t="inlineStr">
        <is>
          <t>Competitor scorecard (1 = weak, 5 = strong)</t>
        </is>
      </c>
    </row>
    <row r="16" ht="28" customHeight="1">
      <c r="B16" s="20" t="inlineStr">
        <is>
          <t>Competitor</t>
        </is>
      </c>
      <c r="C16" s="21" t="inlineStr">
        <is>
          <t>Price</t>
        </is>
      </c>
      <c r="D16" s="21" t="inlineStr">
        <is>
          <t>Product quality</t>
        </is>
      </c>
      <c r="E16" s="21" t="inlineStr">
        <is>
          <t>Brand</t>
        </is>
      </c>
      <c r="F16" s="21" t="inlineStr">
        <is>
          <t>Distribution</t>
        </is>
      </c>
      <c r="G16" s="21" t="inlineStr">
        <is>
          <t>Innovation</t>
        </is>
      </c>
      <c r="H16" s="21" t="inlineStr">
        <is>
          <t>Weighted score</t>
        </is>
      </c>
    </row>
    <row r="17">
      <c r="B17" s="22" t="inlineStr">
        <is>
          <t>Criterion weight</t>
        </is>
      </c>
      <c r="C17" s="23" t="n">
        <v>0.2</v>
      </c>
      <c r="D17" s="23" t="n">
        <v>0.25</v>
      </c>
      <c r="E17" s="23" t="n">
        <v>0.2</v>
      </c>
      <c r="F17" s="23" t="n">
        <v>0.2</v>
      </c>
      <c r="G17" s="23" t="n">
        <v>0.15</v>
      </c>
      <c r="H17" s="24">
        <f>SUM(C17:G17)</f>
        <v/>
      </c>
    </row>
    <row r="18">
      <c r="B18" s="25" t="inlineStr">
        <is>
          <t>Helios (us)</t>
        </is>
      </c>
      <c r="C18" s="26" t="n">
        <v>3</v>
      </c>
      <c r="D18" s="26" t="n">
        <v>4</v>
      </c>
      <c r="E18" s="26" t="n">
        <v>3</v>
      </c>
      <c r="F18" s="26" t="n">
        <v>4</v>
      </c>
      <c r="G18" s="26" t="n">
        <v>4</v>
      </c>
      <c r="H18" s="27">
        <f>SUMPRODUCT(C18:G18,C$17:G$17)</f>
        <v/>
      </c>
    </row>
    <row r="19">
      <c r="B19" s="28" t="inlineStr">
        <is>
          <t>IncumbentCo</t>
        </is>
      </c>
      <c r="C19" s="26" t="n">
        <v>4</v>
      </c>
      <c r="D19" s="26" t="n">
        <v>4</v>
      </c>
      <c r="E19" s="26" t="n">
        <v>5</v>
      </c>
      <c r="F19" s="26" t="n">
        <v>5</v>
      </c>
      <c r="G19" s="26" t="n">
        <v>3</v>
      </c>
      <c r="H19" s="27">
        <f>SUMPRODUCT(C19:G19,C$17:G$17)</f>
        <v/>
      </c>
    </row>
    <row r="20">
      <c r="B20" s="28" t="inlineStr">
        <is>
          <t>StartupX</t>
        </is>
      </c>
      <c r="C20" s="26" t="n">
        <v>3</v>
      </c>
      <c r="D20" s="26" t="n">
        <v>3</v>
      </c>
      <c r="E20" s="26" t="n">
        <v>2</v>
      </c>
      <c r="F20" s="26" t="n">
        <v>2</v>
      </c>
      <c r="G20" s="26" t="n">
        <v>5</v>
      </c>
      <c r="H20" s="27">
        <f>SUMPRODUCT(C20:G20,C$17:G$17)</f>
        <v/>
      </c>
    </row>
    <row r="21">
      <c r="B21" s="28" t="inlineStr">
        <is>
          <t>ValueBrand</t>
        </is>
      </c>
      <c r="C21" s="26" t="n">
        <v>5</v>
      </c>
      <c r="D21" s="26" t="n">
        <v>2</v>
      </c>
      <c r="E21" s="26" t="n">
        <v>3</v>
      </c>
      <c r="F21" s="26" t="n">
        <v>4</v>
      </c>
      <c r="G21" s="26" t="n">
        <v>2</v>
      </c>
      <c r="H21" s="27">
        <f>SUMPRODUCT(C21:G21,C$17:G$17)</f>
        <v/>
      </c>
    </row>
    <row r="22">
      <c r="B22" s="28" t="inlineStr">
        <is>
          <t>GlobalTech</t>
        </is>
      </c>
      <c r="C22" s="26" t="n">
        <v>3</v>
      </c>
      <c r="D22" s="26" t="n">
        <v>5</v>
      </c>
      <c r="E22" s="26" t="n">
        <v>4</v>
      </c>
      <c r="F22" s="26" t="n">
        <v>3</v>
      </c>
      <c r="G22" s="26" t="n">
        <v>5</v>
      </c>
      <c r="H22" s="27">
        <f>SUMPRODUCT(C22:G22,C$17:G$17)</f>
        <v/>
      </c>
    </row>
    <row r="24" ht="20" customHeight="1">
      <c r="B24" s="11" t="inlineStr">
        <is>
          <t>Revenue opportunity — 3-year ramp (€M)</t>
        </is>
      </c>
    </row>
    <row r="25" ht="26" customHeight="1">
      <c r="B25" s="29" t="inlineStr"/>
      <c r="C25" s="30" t="inlineStr">
        <is>
          <t>Year 1</t>
        </is>
      </c>
      <c r="D25" s="30" t="inlineStr">
        <is>
          <t>Year 2</t>
        </is>
      </c>
      <c r="E25" s="30" t="inlineStr">
        <is>
          <t>Year 3</t>
        </is>
      </c>
    </row>
    <row r="26">
      <c r="B26" s="28" t="inlineStr">
        <is>
          <t>Share of SAM captured (%)</t>
        </is>
      </c>
      <c r="C26" s="31" t="n">
        <v>0.02</v>
      </c>
      <c r="D26" s="31" t="n">
        <v>0.05</v>
      </c>
      <c r="E26" s="31" t="n">
        <v>0.08</v>
      </c>
    </row>
    <row r="27">
      <c r="B27" s="32" t="inlineStr">
        <is>
          <t>Revenue (€M)</t>
        </is>
      </c>
      <c r="C27" s="33">
        <f>C26*$C$11</f>
        <v/>
      </c>
      <c r="D27" s="33">
        <f>D26*$C$11</f>
        <v/>
      </c>
      <c r="E27" s="33">
        <f>E26*$C$11</f>
        <v/>
      </c>
    </row>
    <row r="29" ht="20" customHeight="1">
      <c r="B29" s="11" t="inlineStr">
        <is>
          <t>Go / No-Go decision score</t>
        </is>
      </c>
    </row>
    <row r="30">
      <c r="B30" s="20" t="inlineStr">
        <is>
          <t>Factor</t>
        </is>
      </c>
      <c r="C30" s="34" t="inlineStr">
        <is>
          <t>Weight</t>
        </is>
      </c>
      <c r="D30" s="34" t="inlineStr">
        <is>
          <t>Score (1-5)</t>
        </is>
      </c>
      <c r="E30" s="34" t="inlineStr">
        <is>
          <t>Weighted</t>
        </is>
      </c>
    </row>
    <row r="31">
      <c r="B31" s="28" t="inlineStr">
        <is>
          <t>Market size &amp; growth</t>
        </is>
      </c>
      <c r="C31" s="35" t="n">
        <v>0.3</v>
      </c>
      <c r="D31" s="26" t="n">
        <v>4</v>
      </c>
      <c r="E31" s="36">
        <f>C31*D31</f>
        <v/>
      </c>
    </row>
    <row r="32">
      <c r="B32" s="28" t="inlineStr">
        <is>
          <t>Competitive intensity (inverse)</t>
        </is>
      </c>
      <c r="C32" s="35" t="n">
        <v>0.2</v>
      </c>
      <c r="D32" s="26" t="n">
        <v>3</v>
      </c>
      <c r="E32" s="36">
        <f>C32*D32</f>
        <v/>
      </c>
    </row>
    <row r="33">
      <c r="B33" s="28" t="inlineStr">
        <is>
          <t>Strategic fit</t>
        </is>
      </c>
      <c r="C33" s="35" t="n">
        <v>0.25</v>
      </c>
      <c r="D33" s="26" t="n">
        <v>4</v>
      </c>
      <c r="E33" s="36">
        <f>C33*D33</f>
        <v/>
      </c>
    </row>
    <row r="34">
      <c r="B34" s="28" t="inlineStr">
        <is>
          <t>Profitability potential</t>
        </is>
      </c>
      <c r="C34" s="35" t="n">
        <v>0.25</v>
      </c>
      <c r="D34" s="26" t="n">
        <v>4</v>
      </c>
      <c r="E34" s="36">
        <f>C34*D34</f>
        <v/>
      </c>
    </row>
    <row r="35">
      <c r="B35" s="18" t="inlineStr">
        <is>
          <t>Total decision score (out of 5)</t>
        </is>
      </c>
      <c r="C35" s="37" t="n"/>
      <c r="D35" s="37" t="n"/>
      <c r="E35" s="38">
        <f>SUM(E31:E34)</f>
        <v/>
      </c>
    </row>
    <row r="36">
      <c r="B36" s="5" t="inlineStr">
        <is>
          <t>Recommendation (&gt;=3.5 = GO)</t>
        </is>
      </c>
      <c r="E36" s="39">
        <f>IF(E35&gt;=3.5,"GO","NO-GO")</f>
        <v/>
      </c>
    </row>
    <row r="39">
      <c r="B39" s="40" t="inlineStr">
        <is>
          <t>Funnel</t>
        </is>
      </c>
    </row>
    <row r="40">
      <c r="B40" s="28" t="inlineStr">
        <is>
          <t>TAM</t>
        </is>
      </c>
      <c r="C40" s="41">
        <f>C9</f>
        <v/>
      </c>
    </row>
    <row r="41">
      <c r="B41" s="28" t="inlineStr">
        <is>
          <t>SAM</t>
        </is>
      </c>
      <c r="C41" s="41">
        <f>C11</f>
        <v/>
      </c>
    </row>
    <row r="42">
      <c r="B42" s="28" t="inlineStr">
        <is>
          <t>SOM</t>
        </is>
      </c>
      <c r="C42" s="41">
        <f>C13</f>
        <v/>
      </c>
    </row>
    <row r="45" ht="20" customHeight="1">
      <c r="B45" s="11" t="inlineStr">
        <is>
          <t>Key insights (auto-generated)</t>
        </is>
      </c>
    </row>
    <row r="46" ht="26" customHeight="1">
      <c r="B46" s="42">
        <f>"The DACH smart-home market is a €"&amp;TEXT(C9,"#,##0")&amp;"M TAM; a realistic 3-year obtainable market (SOM) is €"&amp;TEXT(C13,"#,##0")&amp;"M."</f>
        <v/>
      </c>
    </row>
    <row r="47" ht="26" customHeight="1">
      <c r="B47" s="42">
        <f>"Year-3 revenue potential is €"&amp;TEXT(E27,"#,##0")&amp;"M at an "&amp;TEXT(E26,"0%")&amp;" share of the serviceable market."</f>
        <v/>
      </c>
    </row>
    <row r="48" ht="26" customHeight="1">
      <c r="B48" s="42">
        <f>"Decision score of "&amp;TEXT(E35,"0.0")&amp;"/5 gives a clear "&amp;E36&amp;": strategic fit and market size outweigh a competitive field led by IncumbentCo."</f>
        <v/>
      </c>
    </row>
  </sheetData>
  <mergeCells count="10">
    <mergeCell ref="B2:G2"/>
    <mergeCell ref="B3:G3"/>
    <mergeCell ref="B5:D5"/>
    <mergeCell ref="B15:G15"/>
    <mergeCell ref="B24:G24"/>
    <mergeCell ref="B29:G29"/>
    <mergeCell ref="B45:G45"/>
    <mergeCell ref="B46:G46"/>
    <mergeCell ref="B47:G47"/>
    <mergeCell ref="B48:G4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2026-09-07T20:23:51Z</dcterms:created>
  <dcterms:modified xmlns:dcterms="http://purl.org/dc/terms/" xmlns:xsi="http://www.w3.org/2001/XMLSchema-instance" xsi:type="dcterms:W3CDTF">2026-09-07T20:23:51Z</dcterms:modified>
</cp:coreProperties>
</file>