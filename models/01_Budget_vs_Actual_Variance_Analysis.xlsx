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nc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FFFFFF"/>
      <sz val="9"/>
    </font>
    <font>
      <name val="Arial"/>
      <color rgb="000000FF"/>
      <sz val="10"/>
    </font>
    <font>
      <name val="Arial"/>
      <b val="1"/>
      <color rgb="00222222"/>
      <sz val="9"/>
    </font>
    <font>
      <name val="Arial"/>
      <b val="1"/>
      <color rgb="00FFFFFF"/>
      <sz val="10"/>
    </font>
    <font>
      <name val="Arial"/>
      <b val="1"/>
      <color rgb="001F3A5F"/>
      <sz val="11"/>
    </font>
    <font>
      <name val="Arial"/>
      <color rgb="00000000"/>
      <sz val="10"/>
    </font>
    <font>
      <name val="Arial"/>
      <color rgb="00333333"/>
      <sz val="9.5"/>
    </font>
    <font>
      <name val="Arial"/>
      <i val="1"/>
      <color rgb="006B7280"/>
      <sz val="8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165" fontId="12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165" fontId="10" fillId="4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right" vertical="center"/>
    </xf>
    <xf numFmtId="165" fontId="14" fillId="5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b val="1"/>
        <color rgb="000F7A55"/>
      </font>
      <fill>
        <patternFill patternType="solid">
          <fgColor rgb="00D5F2E3"/>
        </patternFill>
      </fill>
    </dxf>
    <dxf>
      <font>
        <name val="Arial"/>
        <b val="1"/>
        <color rgb="00C0392B"/>
      </font>
      <fill>
        <patternFill patternType="solid">
          <fgColor rgb="00FBE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Revenue: Budget vs. Actual (€000)</a:t>
            </a:r>
          </a:p>
        </rich>
      </tx>
    </title>
    <plotArea>
      <lineChart>
        <grouping val="standard"/>
        <ser>
          <idx val="0"/>
          <order val="0"/>
          <tx>
            <strRef>
              <f>'Variance Analysis'!D23</f>
            </strRef>
          </tx>
          <spPr>
            <a:ln xmlns:a="http://schemas.openxmlformats.org/drawingml/2006/main" w="20000">
              <a:solidFill>
                <a:srgbClr val="9AA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'Variance Analysis'!$B$24:$B$35</f>
            </numRef>
          </cat>
          <val>
            <numRef>
              <f>'Variance Analysis'!$D$24:$D$35</f>
            </numRef>
          </val>
        </ser>
        <ser>
          <idx val="1"/>
          <order val="1"/>
          <tx>
            <strRef>
              <f>'Variance Analysis'!E23</f>
            </strRef>
          </tx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'Variance Analysis'!$B$24:$B$35</f>
            </numRef>
          </cat>
          <val>
            <numRef>
              <f>'Variance Analysis'!$E$24:$E$35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€000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FP&amp;A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01: Budget vs. Actual: Variance Analysis (FY2025)</t>
        </is>
      </c>
    </row>
    <row r="6" ht="45" customHeight="1">
      <c r="B6" s="3" t="inlineStr">
        <is>
          <t>Purpose</t>
        </is>
      </c>
      <c r="C6" s="4" t="inlineStr">
        <is>
          <t>Compare full-year budget to actual results across the P&amp;L, quantify each variance in € and %, flag it Favourable/Unfavourable, and read the monthly revenue trend that drives it.</t>
        </is>
      </c>
    </row>
    <row r="7" ht="45" customHeight="1">
      <c r="B7" s="3" t="inlineStr">
        <is>
          <t>Techniques shown</t>
        </is>
      </c>
      <c r="C7" s="4" t="inlineStr">
        <is>
          <t>Signed P&amp;L bridge (costs negative) · variance € and % · automatic F/U flag · seasonality-driven monthly budget · dynamic written insights · chart.</t>
        </is>
      </c>
    </row>
    <row r="8" ht="45" customHeight="1">
      <c r="B8" s="3" t="inlineStr">
        <is>
          <t>How to use</t>
        </is>
      </c>
      <c r="C8" s="4" t="inlineStr">
        <is>
          <t>Change any blue Actual figure or the blue seasonality shares, and every variance, flag, subtotal, chart and insight updates automatically.</t>
        </is>
      </c>
    </row>
    <row r="9" ht="30" customHeight="1">
      <c r="B9" s="3" t="inlineStr">
        <is>
          <t>Currency / units</t>
        </is>
      </c>
      <c r="C9" s="4" t="inlineStr">
        <is>
          <t>All figures in EUR thousands (€000) unless stated.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2" customWidth="1" min="8" max="8"/>
  </cols>
  <sheetData>
    <row r="2" ht="30" customHeight="1">
      <c r="B2" s="1" t="inlineStr">
        <is>
          <t>FY2025 Budget vs. Actual: P&amp;L Variance Analysis</t>
        </is>
      </c>
    </row>
    <row r="3" ht="16" customHeight="1">
      <c r="B3" s="2" t="inlineStr">
        <is>
          <t>EUR thousands (€000). Costs shown negative (contribution to EBITDA): a positive variance is always Favourable.</t>
        </is>
      </c>
    </row>
    <row r="5" ht="26" customHeight="1">
      <c r="B5" s="11" t="inlineStr">
        <is>
          <t>Line item (€000)</t>
        </is>
      </c>
      <c r="C5" s="12" t="inlineStr">
        <is>
          <t>Budget</t>
        </is>
      </c>
      <c r="D5" s="12" t="inlineStr">
        <is>
          <t>Actual</t>
        </is>
      </c>
      <c r="E5" s="12" t="inlineStr">
        <is>
          <t>Variance €</t>
        </is>
      </c>
      <c r="F5" s="12" t="inlineStr">
        <is>
          <t>Variance %</t>
        </is>
      </c>
      <c r="G5" s="12" t="inlineStr">
        <is>
          <t>F / U</t>
        </is>
      </c>
    </row>
    <row r="6">
      <c r="B6" s="13" t="inlineStr">
        <is>
          <t>Revenue: Consumer Electronics</t>
        </is>
      </c>
      <c r="C6" s="14" t="n">
        <v>30000</v>
      </c>
      <c r="D6" s="14" t="n">
        <v>31200</v>
      </c>
      <c r="E6" s="15">
        <f>D6-C6</f>
        <v/>
      </c>
      <c r="F6" s="16">
        <f>IF(C6=0,"-",E6/ABS(C6))</f>
        <v/>
      </c>
      <c r="G6" s="17">
        <f>IF(ABS(E6)&lt;0.5,"On plan",IF(E6&gt;0,"Favourable","Unfavourable"))</f>
        <v/>
      </c>
    </row>
    <row r="7">
      <c r="B7" s="18" t="inlineStr">
        <is>
          <t>Revenue: Home Appliances</t>
        </is>
      </c>
      <c r="C7" s="19" t="n">
        <v>12000</v>
      </c>
      <c r="D7" s="19" t="n">
        <v>11400</v>
      </c>
      <c r="E7" s="20">
        <f>D7-C7</f>
        <v/>
      </c>
      <c r="F7" s="21">
        <f>IF(C7=0,"-",E7/ABS(C7))</f>
        <v/>
      </c>
      <c r="G7" s="22">
        <f>IF(ABS(E7)&lt;0.5,"On plan",IF(E7&gt;0,"Favourable","Unfavourable"))</f>
        <v/>
      </c>
    </row>
    <row r="8">
      <c r="B8" s="13" t="inlineStr">
        <is>
          <t>Revenue: Accessories</t>
        </is>
      </c>
      <c r="C8" s="14" t="n">
        <v>6000</v>
      </c>
      <c r="D8" s="14" t="n">
        <v>6900</v>
      </c>
      <c r="E8" s="15">
        <f>D8-C8</f>
        <v/>
      </c>
      <c r="F8" s="16">
        <f>IF(C8=0,"-",E8/ABS(C8))</f>
        <v/>
      </c>
      <c r="G8" s="17">
        <f>IF(ABS(E8)&lt;0.5,"On plan",IF(E8&gt;0,"Favourable","Unfavourable"))</f>
        <v/>
      </c>
    </row>
    <row r="9">
      <c r="B9" s="23" t="inlineStr">
        <is>
          <t>Total Revenue</t>
        </is>
      </c>
      <c r="C9" s="24">
        <f>SUM(C6:C8)</f>
        <v/>
      </c>
      <c r="D9" s="24">
        <f>SUM(D6:D8)</f>
        <v/>
      </c>
      <c r="E9" s="24">
        <f>D9-C9</f>
        <v/>
      </c>
      <c r="F9" s="25">
        <f>IF(C9=0,"-",E9/ABS(C9))</f>
        <v/>
      </c>
      <c r="G9" s="26">
        <f>IF(ABS(E9)&lt;0.5,"On plan",IF(E9&gt;0,"Favourable","Unfavourable"))</f>
        <v/>
      </c>
    </row>
    <row r="10">
      <c r="B10" s="13" t="inlineStr">
        <is>
          <t>Cost of Goods Sold</t>
        </is>
      </c>
      <c r="C10" s="14" t="n">
        <v>-28800</v>
      </c>
      <c r="D10" s="14" t="n">
        <v>-30100</v>
      </c>
      <c r="E10" s="15">
        <f>D10-C10</f>
        <v/>
      </c>
      <c r="F10" s="16">
        <f>IF(C10=0,"-",E10/ABS(C10))</f>
        <v/>
      </c>
      <c r="G10" s="17">
        <f>IF(ABS(E10)&lt;0.5,"On plan",IF(E10&gt;0,"Favourable","Unfavourable"))</f>
        <v/>
      </c>
    </row>
    <row r="11">
      <c r="B11" s="23" t="inlineStr">
        <is>
          <t>Gross Profit</t>
        </is>
      </c>
      <c r="C11" s="24">
        <f>C9+C10</f>
        <v/>
      </c>
      <c r="D11" s="24">
        <f>D9+D10</f>
        <v/>
      </c>
      <c r="E11" s="24">
        <f>D11-C11</f>
        <v/>
      </c>
      <c r="F11" s="25">
        <f>IF(C11=0,"-",E11/ABS(C11))</f>
        <v/>
      </c>
      <c r="G11" s="26">
        <f>IF(ABS(E11)&lt;0.5,"On plan",IF(E11&gt;0,"Favourable","Unfavourable"))</f>
        <v/>
      </c>
    </row>
    <row r="12">
      <c r="B12" s="13" t="inlineStr">
        <is>
          <t>Sales &amp; Marketing</t>
        </is>
      </c>
      <c r="C12" s="14" t="n">
        <v>-4800</v>
      </c>
      <c r="D12" s="14" t="n">
        <v>-5100</v>
      </c>
      <c r="E12" s="15">
        <f>D12-C12</f>
        <v/>
      </c>
      <c r="F12" s="16">
        <f>IF(C12=0,"-",E12/ABS(C12))</f>
        <v/>
      </c>
      <c r="G12" s="17">
        <f>IF(ABS(E12)&lt;0.5,"On plan",IF(E12&gt;0,"Favourable","Unfavourable"))</f>
        <v/>
      </c>
    </row>
    <row r="13">
      <c r="B13" s="18" t="inlineStr">
        <is>
          <t>Research &amp; Development</t>
        </is>
      </c>
      <c r="C13" s="19" t="n">
        <v>-2400</v>
      </c>
      <c r="D13" s="19" t="n">
        <v>-2250</v>
      </c>
      <c r="E13" s="20">
        <f>D13-C13</f>
        <v/>
      </c>
      <c r="F13" s="21">
        <f>IF(C13=0,"-",E13/ABS(C13))</f>
        <v/>
      </c>
      <c r="G13" s="22">
        <f>IF(ABS(E13)&lt;0.5,"On plan",IF(E13&gt;0,"Favourable","Unfavourable"))</f>
        <v/>
      </c>
    </row>
    <row r="14">
      <c r="B14" s="13" t="inlineStr">
        <is>
          <t>General &amp; Administrative</t>
        </is>
      </c>
      <c r="C14" s="14" t="n">
        <v>-3600</v>
      </c>
      <c r="D14" s="14" t="n">
        <v>-3750</v>
      </c>
      <c r="E14" s="15">
        <f>D14-C14</f>
        <v/>
      </c>
      <c r="F14" s="16">
        <f>IF(C14=0,"-",E14/ABS(C14))</f>
        <v/>
      </c>
      <c r="G14" s="17">
        <f>IF(ABS(E14)&lt;0.5,"On plan",IF(E14&gt;0,"Favourable","Unfavourable"))</f>
        <v/>
      </c>
    </row>
    <row r="15">
      <c r="B15" s="18" t="inlineStr">
        <is>
          <t>Distribution &amp; Logistics</t>
        </is>
      </c>
      <c r="C15" s="19" t="n">
        <v>-1920</v>
      </c>
      <c r="D15" s="19" t="n">
        <v>-2050</v>
      </c>
      <c r="E15" s="20">
        <f>D15-C15</f>
        <v/>
      </c>
      <c r="F15" s="21">
        <f>IF(C15=0,"-",E15/ABS(C15))</f>
        <v/>
      </c>
      <c r="G15" s="22">
        <f>IF(ABS(E15)&lt;0.5,"On plan",IF(E15&gt;0,"Favourable","Unfavourable"))</f>
        <v/>
      </c>
    </row>
    <row r="16">
      <c r="B16" s="23" t="inlineStr">
        <is>
          <t>Total Operating Expenses</t>
        </is>
      </c>
      <c r="C16" s="24">
        <f>SUM(C12:C15)</f>
        <v/>
      </c>
      <c r="D16" s="24">
        <f>SUM(D12:D15)</f>
        <v/>
      </c>
      <c r="E16" s="24">
        <f>D16-C16</f>
        <v/>
      </c>
      <c r="F16" s="25">
        <f>IF(C16=0,"-",E16/ABS(C16))</f>
        <v/>
      </c>
      <c r="G16" s="26">
        <f>IF(ABS(E16)&lt;0.5,"On plan",IF(E16&gt;0,"Favourable","Unfavourable"))</f>
        <v/>
      </c>
    </row>
    <row r="17">
      <c r="B17" s="23" t="inlineStr">
        <is>
          <t>EBITDA</t>
        </is>
      </c>
      <c r="C17" s="24">
        <f>C11+C16</f>
        <v/>
      </c>
      <c r="D17" s="24">
        <f>D11+D16</f>
        <v/>
      </c>
      <c r="E17" s="24">
        <f>D17-C17</f>
        <v/>
      </c>
      <c r="F17" s="25">
        <f>IF(C17=0,"-",E17/ABS(C17))</f>
        <v/>
      </c>
      <c r="G17" s="26">
        <f>IF(ABS(E17)&lt;0.5,"On plan",IF(E17&gt;0,"Favourable","Unfavourable"))</f>
        <v/>
      </c>
    </row>
    <row r="18">
      <c r="B18" s="13" t="inlineStr">
        <is>
          <t>Depreciation &amp; Amortisation</t>
        </is>
      </c>
      <c r="C18" s="14" t="n">
        <v>-1200</v>
      </c>
      <c r="D18" s="14" t="n">
        <v>-1200</v>
      </c>
      <c r="E18" s="15">
        <f>D18-C18</f>
        <v/>
      </c>
      <c r="F18" s="16">
        <f>IF(C18=0,"-",E18/ABS(C18))</f>
        <v/>
      </c>
      <c r="G18" s="17">
        <f>IF(ABS(E18)&lt;0.5,"On plan",IF(E18&gt;0,"Favourable","Unfavourable"))</f>
        <v/>
      </c>
    </row>
    <row r="19">
      <c r="B19" s="23" t="inlineStr">
        <is>
          <t>EBIT</t>
        </is>
      </c>
      <c r="C19" s="24">
        <f>C17+C18</f>
        <v/>
      </c>
      <c r="D19" s="24">
        <f>D17+D18</f>
        <v/>
      </c>
      <c r="E19" s="24">
        <f>D19-C19</f>
        <v/>
      </c>
      <c r="F19" s="25">
        <f>IF(C19=0,"-",E19/ABS(C19))</f>
        <v/>
      </c>
      <c r="G19" s="26">
        <f>IF(ABS(E19)&lt;0.5,"On plan",IF(E19&gt;0,"Favourable","Unfavourable"))</f>
        <v/>
      </c>
    </row>
    <row r="22" ht="20" customHeight="1">
      <c r="B22" s="27" t="inlineStr">
        <is>
          <t>Monthly Revenue: Budget vs. Actual (seasonality-driven)</t>
        </is>
      </c>
    </row>
    <row r="23" ht="26" customHeight="1">
      <c r="B23" s="11" t="inlineStr">
        <is>
          <t>Month</t>
        </is>
      </c>
      <c r="C23" s="12" t="inlineStr">
        <is>
          <t>Seasonality %</t>
        </is>
      </c>
      <c r="D23" s="12" t="inlineStr">
        <is>
          <t>Budget</t>
        </is>
      </c>
      <c r="E23" s="12" t="inlineStr">
        <is>
          <t>Actual</t>
        </is>
      </c>
      <c r="F23" s="12" t="inlineStr">
        <is>
          <t>Variance €</t>
        </is>
      </c>
      <c r="G23" s="12" t="inlineStr">
        <is>
          <t>Variance %</t>
        </is>
      </c>
    </row>
    <row r="24">
      <c r="B24" s="28" t="inlineStr">
        <is>
          <t>Jan</t>
        </is>
      </c>
      <c r="C24" s="29" t="n">
        <v>0.07000000000000001</v>
      </c>
      <c r="D24" s="30">
        <f>$C$9*C24</f>
        <v/>
      </c>
      <c r="E24" s="14" t="n">
        <v>3300</v>
      </c>
      <c r="F24" s="30">
        <f>E24-D24</f>
        <v/>
      </c>
      <c r="G24" s="31">
        <f>IF(D24=0,"-",F24/D24)</f>
        <v/>
      </c>
    </row>
    <row r="25">
      <c r="B25" s="32" t="inlineStr">
        <is>
          <t>Feb</t>
        </is>
      </c>
      <c r="C25" s="29" t="n">
        <v>0.07000000000000001</v>
      </c>
      <c r="D25" s="33">
        <f>$C$9*C25</f>
        <v/>
      </c>
      <c r="E25" s="19" t="n">
        <v>3450</v>
      </c>
      <c r="F25" s="33">
        <f>E25-D25</f>
        <v/>
      </c>
      <c r="G25" s="34">
        <f>IF(D25=0,"-",F25/D25)</f>
        <v/>
      </c>
    </row>
    <row r="26">
      <c r="B26" s="28" t="inlineStr">
        <is>
          <t>Mar</t>
        </is>
      </c>
      <c r="C26" s="29" t="n">
        <v>0.08</v>
      </c>
      <c r="D26" s="30">
        <f>$C$9*C26</f>
        <v/>
      </c>
      <c r="E26" s="14" t="n">
        <v>3900</v>
      </c>
      <c r="F26" s="30">
        <f>E26-D26</f>
        <v/>
      </c>
      <c r="G26" s="31">
        <f>IF(D26=0,"-",F26/D26)</f>
        <v/>
      </c>
    </row>
    <row r="27">
      <c r="B27" s="32" t="inlineStr">
        <is>
          <t>Apr</t>
        </is>
      </c>
      <c r="C27" s="29" t="n">
        <v>0.08</v>
      </c>
      <c r="D27" s="33">
        <f>$C$9*C27</f>
        <v/>
      </c>
      <c r="E27" s="19" t="n">
        <v>3780</v>
      </c>
      <c r="F27" s="33">
        <f>E27-D27</f>
        <v/>
      </c>
      <c r="G27" s="34">
        <f>IF(D27=0,"-",F27/D27)</f>
        <v/>
      </c>
    </row>
    <row r="28">
      <c r="B28" s="28" t="inlineStr">
        <is>
          <t>May</t>
        </is>
      </c>
      <c r="C28" s="29" t="n">
        <v>0.08</v>
      </c>
      <c r="D28" s="30">
        <f>$C$9*C28</f>
        <v/>
      </c>
      <c r="E28" s="14" t="n">
        <v>3960</v>
      </c>
      <c r="F28" s="30">
        <f>E28-D28</f>
        <v/>
      </c>
      <c r="G28" s="31">
        <f>IF(D28=0,"-",F28/D28)</f>
        <v/>
      </c>
    </row>
    <row r="29">
      <c r="B29" s="32" t="inlineStr">
        <is>
          <t>Jun</t>
        </is>
      </c>
      <c r="C29" s="29" t="n">
        <v>0.08</v>
      </c>
      <c r="D29" s="33">
        <f>$C$9*C29</f>
        <v/>
      </c>
      <c r="E29" s="19" t="n">
        <v>3900</v>
      </c>
      <c r="F29" s="33">
        <f>E29-D29</f>
        <v/>
      </c>
      <c r="G29" s="34">
        <f>IF(D29=0,"-",F29/D29)</f>
        <v/>
      </c>
    </row>
    <row r="30">
      <c r="B30" s="28" t="inlineStr">
        <is>
          <t>Jul</t>
        </is>
      </c>
      <c r="C30" s="29" t="n">
        <v>0.075</v>
      </c>
      <c r="D30" s="30">
        <f>$C$9*C30</f>
        <v/>
      </c>
      <c r="E30" s="14" t="n">
        <v>3700</v>
      </c>
      <c r="F30" s="30">
        <f>E30-D30</f>
        <v/>
      </c>
      <c r="G30" s="31">
        <f>IF(D30=0,"-",F30/D30)</f>
        <v/>
      </c>
    </row>
    <row r="31">
      <c r="B31" s="32" t="inlineStr">
        <is>
          <t>Aug</t>
        </is>
      </c>
      <c r="C31" s="29" t="n">
        <v>0.075</v>
      </c>
      <c r="D31" s="33">
        <f>$C$9*C31</f>
        <v/>
      </c>
      <c r="E31" s="19" t="n">
        <v>3540</v>
      </c>
      <c r="F31" s="33">
        <f>E31-D31</f>
        <v/>
      </c>
      <c r="G31" s="34">
        <f>IF(D31=0,"-",F31/D31)</f>
        <v/>
      </c>
    </row>
    <row r="32">
      <c r="B32" s="28" t="inlineStr">
        <is>
          <t>Sep</t>
        </is>
      </c>
      <c r="C32" s="29" t="n">
        <v>0.08500000000000001</v>
      </c>
      <c r="D32" s="30">
        <f>$C$9*C32</f>
        <v/>
      </c>
      <c r="E32" s="14" t="n">
        <v>4250</v>
      </c>
      <c r="F32" s="30">
        <f>E32-D32</f>
        <v/>
      </c>
      <c r="G32" s="31">
        <f>IF(D32=0,"-",F32/D32)</f>
        <v/>
      </c>
    </row>
    <row r="33">
      <c r="B33" s="32" t="inlineStr">
        <is>
          <t>Oct</t>
        </is>
      </c>
      <c r="C33" s="29" t="n">
        <v>0.09</v>
      </c>
      <c r="D33" s="33">
        <f>$C$9*C33</f>
        <v/>
      </c>
      <c r="E33" s="19" t="n">
        <v>4480</v>
      </c>
      <c r="F33" s="33">
        <f>E33-D33</f>
        <v/>
      </c>
      <c r="G33" s="34">
        <f>IF(D33=0,"-",F33/D33)</f>
        <v/>
      </c>
    </row>
    <row r="34">
      <c r="B34" s="28" t="inlineStr">
        <is>
          <t>Nov</t>
        </is>
      </c>
      <c r="C34" s="29" t="n">
        <v>0.1</v>
      </c>
      <c r="D34" s="30">
        <f>$C$9*C34</f>
        <v/>
      </c>
      <c r="E34" s="14" t="n">
        <v>4950</v>
      </c>
      <c r="F34" s="30">
        <f>E34-D34</f>
        <v/>
      </c>
      <c r="G34" s="31">
        <f>IF(D34=0,"-",F34/D34)</f>
        <v/>
      </c>
    </row>
    <row r="35">
      <c r="B35" s="32" t="inlineStr">
        <is>
          <t>Dec</t>
        </is>
      </c>
      <c r="C35" s="29" t="n">
        <v>0.115</v>
      </c>
      <c r="D35" s="33">
        <f>$C$9*C35</f>
        <v/>
      </c>
      <c r="E35" s="19" t="n">
        <v>6290</v>
      </c>
      <c r="F35" s="33">
        <f>E35-D35</f>
        <v/>
      </c>
      <c r="G35" s="34">
        <f>IF(D35=0,"-",F35/D35)</f>
        <v/>
      </c>
    </row>
    <row r="36">
      <c r="B36" s="23" t="inlineStr">
        <is>
          <t>Full Year</t>
        </is>
      </c>
      <c r="C36" s="25">
        <f>SUM(C24:C35)</f>
        <v/>
      </c>
      <c r="D36" s="24">
        <f>SUM(D24:D35)</f>
        <v/>
      </c>
      <c r="E36" s="24">
        <f>SUM(E24:E35)</f>
        <v/>
      </c>
      <c r="F36" s="24">
        <f>SUM(F24:F35)</f>
        <v/>
      </c>
      <c r="G36" s="25">
        <f>IF(E36=0,"-",F36/E36)</f>
        <v/>
      </c>
    </row>
    <row r="39" ht="20" customHeight="1">
      <c r="B39" s="27" t="inlineStr">
        <is>
          <t>Key insights (auto-generated)</t>
        </is>
      </c>
    </row>
    <row r="40" ht="28" customHeight="1">
      <c r="B40" s="35">
        <f>"Total revenue of €"&amp;TEXT(D9,"#,##0")&amp;"k came in "&amp;TEXT(E9,"+#,##0;-#,##0")&amp;"k ("&amp;TEXT(F9,"+0.0%;-0.0%")&amp;") vs budget."</f>
        <v/>
      </c>
    </row>
    <row r="41" ht="28" customHeight="1">
      <c r="B41" s="35">
        <f>"EBITDA of €"&amp;TEXT(D17,"#,##0")&amp;"k was "&amp;TEXT(E17,"+#,##0;-#,##0")&amp;"k vs plan, as revenue upside was offset by higher COGS and S&amp;M spend."</f>
        <v/>
      </c>
    </row>
    <row r="42" ht="28" customHeight="1">
      <c r="B42" s="35">
        <f>"Gross margin landed at "&amp;TEXT(D11/D9,"0.0%")&amp;" vs a budgeted "&amp;TEXT(C11/C9,"0.0%")&amp;", a "&amp;TEXT(D11/D9-C11/C9,"+0.0%;-0.0%")&amp;" swing to watch."</f>
        <v/>
      </c>
    </row>
    <row r="43" ht="28" customHeight="1">
      <c r="B43" s="35">
        <f>"Q4 (Oct-Dec) drove the beat: December actual of €"&amp;TEXT(E35,"#,##0")&amp;"k was well ahead of the €"&amp;TEXT(D35,"#,##0")&amp;"k plan."</f>
        <v/>
      </c>
    </row>
    <row r="45">
      <c r="B45" s="36" t="inlineStr">
        <is>
          <t>Method: Variance € = Actual − Budget. With costs signed negative, a positive variance always improves EBITDA and is flagged Favourable.</t>
        </is>
      </c>
    </row>
    <row r="46">
      <c r="B46" s="36" t="inlineStr">
        <is>
          <t>Monthly budget is derived from the annual revenue budget spread over the blue seasonality shares (which sum to 100%).</t>
        </is>
      </c>
    </row>
  </sheetData>
  <mergeCells count="8">
    <mergeCell ref="B2:G2"/>
    <mergeCell ref="B3:G3"/>
    <mergeCell ref="B22:G22"/>
    <mergeCell ref="B39:G39"/>
    <mergeCell ref="B40:G40"/>
    <mergeCell ref="B41:G41"/>
    <mergeCell ref="B42:G42"/>
    <mergeCell ref="B43:G43"/>
  </mergeCells>
  <conditionalFormatting sqref="G6:G19">
    <cfRule type="expression" priority="1" dxfId="0" stopIfTrue="0">
      <formula>$G6="Favourable"</formula>
    </cfRule>
    <cfRule type="expression" priority="2" dxfId="1" stopIfTrue="0">
      <formula>$G6="Unfavourable"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2026-08-09T17:43:18Z</dcterms:created>
  <dcterms:modified xmlns:dcterms="http://purl.org/dc/terms/" xmlns:xsi="http://www.w3.org/2001/XMLSchema-instance" xsi:type="dcterms:W3CDTF">2026-08-09T17:43:18Z</dcterms:modified>
</cp:coreProperties>
</file>