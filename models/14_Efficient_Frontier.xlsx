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ronti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;(0.0%);&quot;-&quot;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A5F"/>
      <sz val="10"/>
    </font>
    <font>
      <name val="Arial"/>
      <color rgb="00222222"/>
      <sz val="10"/>
    </font>
    <font>
      <name val="Arial"/>
      <b val="1"/>
      <color rgb="000000FF"/>
      <sz val="9"/>
    </font>
    <font>
      <name val="Arial"/>
      <color rgb="00444444"/>
      <sz val="9"/>
    </font>
    <font>
      <name val="Arial"/>
      <b val="1"/>
      <color rgb="00000000"/>
      <sz val="9"/>
    </font>
    <font>
      <name val="Arial"/>
      <b val="1"/>
      <color rgb="00008000"/>
      <sz val="9"/>
    </font>
    <font>
      <name val="Arial"/>
      <b val="1"/>
      <color rgb="001F3A5F"/>
      <sz val="11"/>
    </font>
    <font>
      <name val="Arial"/>
      <b val="1"/>
      <color rgb="000000FF"/>
      <sz val="10"/>
    </font>
    <font>
      <name val="Arial"/>
      <b val="1"/>
      <color rgb="00FFFFFF"/>
      <sz val="9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222222"/>
      <sz val="10"/>
    </font>
    <font>
      <name val="Arial"/>
      <b val="1"/>
      <color rgb="00FFFFFF"/>
      <sz val="10"/>
    </font>
    <font>
      <name val="Arial"/>
      <color rgb="00333333"/>
      <sz val="9.5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5A88"/>
      </patternFill>
    </fill>
    <fill>
      <patternFill patternType="solid">
        <fgColor rgb="00FFF2CC"/>
      </patternFill>
    </fill>
    <fill>
      <patternFill patternType="solid">
        <fgColor rgb="00EAF0F6"/>
      </patternFill>
    </fill>
    <fill>
      <patternFill patternType="solid">
        <fgColor rgb="0017B890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4" fontId="10" fillId="4" borderId="1" applyAlignment="1" pivotButton="0" quotePrefix="0" xfId="0">
      <alignment horizontal="right" vertical="center"/>
    </xf>
    <xf numFmtId="2" fontId="10" fillId="4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164" fontId="12" fillId="4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2" fontId="1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164" fontId="14" fillId="5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2" fontId="14" fillId="5" borderId="1" applyAlignment="1" pivotButton="0" quotePrefix="0" xfId="0">
      <alignment horizontal="right" vertical="center"/>
    </xf>
    <xf numFmtId="0" fontId="15" fillId="6" borderId="1" applyAlignment="1" pivotButton="0" quotePrefix="0" xfId="0">
      <alignment horizontal="left" vertical="center"/>
    </xf>
    <xf numFmtId="164" fontId="15" fillId="6" borderId="1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Efficient frontier (risk vs return)</a:t>
            </a:r>
          </a:p>
        </rich>
      </tx>
    </title>
    <plotArea>
      <scatterChart>
        <ser>
          <idx val="0"/>
          <order val="0"/>
          <tx>
            <v>Frontier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pPr>
              <a:solidFill xmlns:a="http://schemas.openxmlformats.org/drawingml/2006/main">
                <a:srgbClr val="17B890"/>
              </a:solidFill>
              <a:ln xmlns:a="http://schemas.openxmlformats.org/drawingml/2006/main">
                <a:prstDash val="solid"/>
              </a:ln>
            </spPr>
          </marker>
          <xVal>
            <numRef>
              <f>'Frontier'!$E$15:$E$25</f>
            </numRef>
          </xVal>
          <yVal>
            <numRef>
              <f>'Frontier'!$D$15:$D$25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Volatility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12</row>
      <rowOff>0</rowOff>
    </from>
    <ext cx="46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60" customWidth="1" min="3" max="3"/>
    <col width="2" customWidth="1" min="4" max="4"/>
  </cols>
  <sheetData>
    <row r="2" ht="30" customHeight="1">
      <c r="B2" s="1" t="inlineStr">
        <is>
          <t>HELIOS CONSUMER GmbH  ·  Sample Model</t>
        </is>
      </c>
    </row>
    <row r="3" ht="16" customHeight="1">
      <c r="B3" s="2" t="inlineStr">
        <is>
          <t>Illustrative portfolio project. Prepared by Prajit Jawahar</t>
        </is>
      </c>
    </row>
    <row r="5" ht="30" customHeight="1">
      <c r="B5" s="3" t="inlineStr">
        <is>
          <t>Model</t>
        </is>
      </c>
      <c r="C5" s="4" t="inlineStr">
        <is>
          <t>14: Two-Asset Efficient Frontier</t>
        </is>
      </c>
    </row>
    <row r="6" ht="60" customHeight="1">
      <c r="B6" s="3" t="inlineStr">
        <is>
          <t>Purpose</t>
        </is>
      </c>
      <c r="C6" s="4" t="inlineStr">
        <is>
          <t>Trace the risk/return frontier of an equity/bond mix: sweep the allocation from 0% to 100% equities, compute portfolio return and volatility at each point, and identify the minimum-variance and maximum-Sharpe portfolios.</t>
        </is>
      </c>
    </row>
    <row r="7" ht="45" customHeight="1">
      <c r="B7" s="3" t="inlineStr">
        <is>
          <t>Techniques shown</t>
        </is>
      </c>
      <c r="C7" s="4" t="inlineStr">
        <is>
          <t>Portfolio return &amp; volatility across allocations · correlation effect · minimum-variance portfolio · maximum-Sharpe portfolio · risk/return scatter.</t>
        </is>
      </c>
    </row>
    <row r="8" ht="45" customHeight="1">
      <c r="B8" s="3" t="inlineStr">
        <is>
          <t>How to use</t>
        </is>
      </c>
      <c r="C8" s="4" t="inlineStr">
        <is>
          <t>Change the blue asset returns, volatilities, correlation or risk-free rate; the frontier, optimal points and chart update.</t>
        </is>
      </c>
    </row>
    <row r="9" ht="30" customHeight="1">
      <c r="B9" s="3" t="inlineStr">
        <is>
          <t>Currency / units</t>
        </is>
      </c>
      <c r="C9" s="4" t="inlineStr">
        <is>
          <t>See each sheet header for units.</t>
        </is>
      </c>
    </row>
    <row r="10" ht="30" customHeight="1">
      <c r="B10" s="3" t="inlineStr">
        <is>
          <t>Data</t>
        </is>
      </c>
      <c r="C10" s="4" t="inlineStr">
        <is>
          <t>Sample / illustrative figures for a fictional company. Not real financials.</t>
        </is>
      </c>
    </row>
    <row r="12">
      <c r="B12" s="5" t="inlineStr">
        <is>
          <t>Colour key</t>
        </is>
      </c>
    </row>
    <row r="13">
      <c r="B13" s="6" t="inlineStr">
        <is>
          <t xml:space="preserve">  Blue text</t>
        </is>
      </c>
      <c r="C13" s="7" t="inlineStr">
        <is>
          <t>Hard-coded input / assumption you can change</t>
        </is>
      </c>
    </row>
    <row r="14">
      <c r="B14" s="8" t="inlineStr">
        <is>
          <t xml:space="preserve">  Black text</t>
        </is>
      </c>
      <c r="C14" s="7" t="inlineStr">
        <is>
          <t>Formula, recalculates automatically</t>
        </is>
      </c>
    </row>
    <row r="15">
      <c r="B15" s="9" t="inlineStr">
        <is>
          <t xml:space="preserve">  Green text</t>
        </is>
      </c>
      <c r="C15" s="7" t="inlineStr">
        <is>
          <t>Links to another sheet</t>
        </is>
      </c>
    </row>
    <row r="16">
      <c r="B16" s="10" t="inlineStr">
        <is>
          <t xml:space="preserve">  Yellow fill</t>
        </is>
      </c>
      <c r="C16" s="7" t="inlineStr">
        <is>
          <t>Cells intended for you to fill in</t>
        </is>
      </c>
    </row>
  </sheetData>
  <mergeCells count="2">
    <mergeCell ref="B2:C2"/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3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2" customWidth="1" min="7" max="7"/>
  </cols>
  <sheetData>
    <row r="2" ht="30" customHeight="1">
      <c r="B2" s="1" t="inlineStr">
        <is>
          <t>Two-Asset Efficient Frontier — Equities &amp; Bonds</t>
        </is>
      </c>
    </row>
    <row r="3" ht="16" customHeight="1">
      <c r="B3" s="2" t="inlineStr">
        <is>
          <t>Annual figures. Blue = input.</t>
        </is>
      </c>
    </row>
    <row r="5" ht="20" customHeight="1">
      <c r="B5" s="11" t="inlineStr">
        <is>
          <t>Assumptions</t>
        </is>
      </c>
    </row>
    <row r="6">
      <c r="B6" s="12" t="inlineStr">
        <is>
          <t>Equities — expected return</t>
        </is>
      </c>
      <c r="C6" s="13" t="n">
        <v>0.08</v>
      </c>
    </row>
    <row r="7">
      <c r="B7" s="12" t="inlineStr">
        <is>
          <t>Equities — volatility</t>
        </is>
      </c>
      <c r="C7" s="13" t="n">
        <v>0.16</v>
      </c>
    </row>
    <row r="8">
      <c r="B8" s="12" t="inlineStr">
        <is>
          <t>Bonds — expected return</t>
        </is>
      </c>
      <c r="C8" s="13" t="n">
        <v>0.03</v>
      </c>
    </row>
    <row r="9">
      <c r="B9" s="12" t="inlineStr">
        <is>
          <t>Bonds — volatility</t>
        </is>
      </c>
      <c r="C9" s="13" t="n">
        <v>0.05</v>
      </c>
    </row>
    <row r="10">
      <c r="B10" s="12" t="inlineStr">
        <is>
          <t>Correlation (equity, bond)</t>
        </is>
      </c>
      <c r="C10" s="14" t="n">
        <v>0.15</v>
      </c>
    </row>
    <row r="11">
      <c r="B11" s="12" t="inlineStr">
        <is>
          <t>Risk-free rate</t>
        </is>
      </c>
      <c r="C11" s="13" t="n">
        <v>0.02</v>
      </c>
    </row>
    <row r="13" ht="20" customHeight="1">
      <c r="B13" s="11" t="inlineStr">
        <is>
          <t>Frontier (sweep of equity weight)</t>
        </is>
      </c>
    </row>
    <row r="14" ht="26" customHeight="1">
      <c r="B14" s="15" t="inlineStr">
        <is>
          <t>Equity weight</t>
        </is>
      </c>
      <c r="C14" s="16" t="inlineStr">
        <is>
          <t>Bond weight</t>
        </is>
      </c>
      <c r="D14" s="16" t="inlineStr">
        <is>
          <t>Return</t>
        </is>
      </c>
      <c r="E14" s="16" t="inlineStr">
        <is>
          <t>Volatility</t>
        </is>
      </c>
      <c r="F14" s="16" t="inlineStr">
        <is>
          <t>Sharpe</t>
        </is>
      </c>
    </row>
    <row r="15">
      <c r="B15" s="17" t="n">
        <v>0</v>
      </c>
      <c r="C15" s="18">
        <f>1-B15</f>
        <v/>
      </c>
      <c r="D15" s="18">
        <f>B15*$C$6+C15*$C$8</f>
        <v/>
      </c>
      <c r="E15" s="18">
        <f>SQRT(B15^2*$C$7^2+C15^2*$C$9^2+2*B15*C15*$C$7*$C$9*$C$10)</f>
        <v/>
      </c>
      <c r="F15" s="19">
        <f>(D15-$C$11)/E15</f>
        <v/>
      </c>
    </row>
    <row r="16">
      <c r="B16" s="17" t="n">
        <v>0.1</v>
      </c>
      <c r="C16" s="18">
        <f>1-B16</f>
        <v/>
      </c>
      <c r="D16" s="18">
        <f>B16*$C$6+C16*$C$8</f>
        <v/>
      </c>
      <c r="E16" s="18">
        <f>SQRT(B16^2*$C$7^2+C16^2*$C$9^2+2*B16*C16*$C$7*$C$9*$C$10)</f>
        <v/>
      </c>
      <c r="F16" s="19">
        <f>(D16-$C$11)/E16</f>
        <v/>
      </c>
    </row>
    <row r="17">
      <c r="B17" s="17" t="n">
        <v>0.2</v>
      </c>
      <c r="C17" s="18">
        <f>1-B17</f>
        <v/>
      </c>
      <c r="D17" s="18">
        <f>B17*$C$6+C17*$C$8</f>
        <v/>
      </c>
      <c r="E17" s="18">
        <f>SQRT(B17^2*$C$7^2+C17^2*$C$9^2+2*B17*C17*$C$7*$C$9*$C$10)</f>
        <v/>
      </c>
      <c r="F17" s="19">
        <f>(D17-$C$11)/E17</f>
        <v/>
      </c>
    </row>
    <row r="18">
      <c r="B18" s="17" t="n">
        <v>0.3</v>
      </c>
      <c r="C18" s="18">
        <f>1-B18</f>
        <v/>
      </c>
      <c r="D18" s="18">
        <f>B18*$C$6+C18*$C$8</f>
        <v/>
      </c>
      <c r="E18" s="18">
        <f>SQRT(B18^2*$C$7^2+C18^2*$C$9^2+2*B18*C18*$C$7*$C$9*$C$10)</f>
        <v/>
      </c>
      <c r="F18" s="19">
        <f>(D18-$C$11)/E18</f>
        <v/>
      </c>
    </row>
    <row r="19">
      <c r="B19" s="17" t="n">
        <v>0.4</v>
      </c>
      <c r="C19" s="18">
        <f>1-B19</f>
        <v/>
      </c>
      <c r="D19" s="18">
        <f>B19*$C$6+C19*$C$8</f>
        <v/>
      </c>
      <c r="E19" s="18">
        <f>SQRT(B19^2*$C$7^2+C19^2*$C$9^2+2*B19*C19*$C$7*$C$9*$C$10)</f>
        <v/>
      </c>
      <c r="F19" s="19">
        <f>(D19-$C$11)/E19</f>
        <v/>
      </c>
    </row>
    <row r="20">
      <c r="B20" s="17" t="n">
        <v>0.5</v>
      </c>
      <c r="C20" s="18">
        <f>1-B20</f>
        <v/>
      </c>
      <c r="D20" s="18">
        <f>B20*$C$6+C20*$C$8</f>
        <v/>
      </c>
      <c r="E20" s="18">
        <f>SQRT(B20^2*$C$7^2+C20^2*$C$9^2+2*B20*C20*$C$7*$C$9*$C$10)</f>
        <v/>
      </c>
      <c r="F20" s="19">
        <f>(D20-$C$11)/E20</f>
        <v/>
      </c>
    </row>
    <row r="21">
      <c r="B21" s="17" t="n">
        <v>0.6</v>
      </c>
      <c r="C21" s="18">
        <f>1-B21</f>
        <v/>
      </c>
      <c r="D21" s="18">
        <f>B21*$C$6+C21*$C$8</f>
        <v/>
      </c>
      <c r="E21" s="18">
        <f>SQRT(B21^2*$C$7^2+C21^2*$C$9^2+2*B21*C21*$C$7*$C$9*$C$10)</f>
        <v/>
      </c>
      <c r="F21" s="19">
        <f>(D21-$C$11)/E21</f>
        <v/>
      </c>
    </row>
    <row r="22">
      <c r="B22" s="17" t="n">
        <v>0.7</v>
      </c>
      <c r="C22" s="18">
        <f>1-B22</f>
        <v/>
      </c>
      <c r="D22" s="18">
        <f>B22*$C$6+C22*$C$8</f>
        <v/>
      </c>
      <c r="E22" s="18">
        <f>SQRT(B22^2*$C$7^2+C22^2*$C$9^2+2*B22*C22*$C$7*$C$9*$C$10)</f>
        <v/>
      </c>
      <c r="F22" s="19">
        <f>(D22-$C$11)/E22</f>
        <v/>
      </c>
    </row>
    <row r="23">
      <c r="B23" s="17" t="n">
        <v>0.8</v>
      </c>
      <c r="C23" s="18">
        <f>1-B23</f>
        <v/>
      </c>
      <c r="D23" s="18">
        <f>B23*$C$6+C23*$C$8</f>
        <v/>
      </c>
      <c r="E23" s="18">
        <f>SQRT(B23^2*$C$7^2+C23^2*$C$9^2+2*B23*C23*$C$7*$C$9*$C$10)</f>
        <v/>
      </c>
      <c r="F23" s="19">
        <f>(D23-$C$11)/E23</f>
        <v/>
      </c>
    </row>
    <row r="24">
      <c r="B24" s="17" t="n">
        <v>0.9</v>
      </c>
      <c r="C24" s="18">
        <f>1-B24</f>
        <v/>
      </c>
      <c r="D24" s="18">
        <f>B24*$C$6+C24*$C$8</f>
        <v/>
      </c>
      <c r="E24" s="18">
        <f>SQRT(B24^2*$C$7^2+C24^2*$C$9^2+2*B24*C24*$C$7*$C$9*$C$10)</f>
        <v/>
      </c>
      <c r="F24" s="19">
        <f>(D24-$C$11)/E24</f>
        <v/>
      </c>
    </row>
    <row r="25">
      <c r="B25" s="17" t="n">
        <v>1</v>
      </c>
      <c r="C25" s="18">
        <f>1-B25</f>
        <v/>
      </c>
      <c r="D25" s="18">
        <f>B25*$C$6+C25*$C$8</f>
        <v/>
      </c>
      <c r="E25" s="18">
        <f>SQRT(B25^2*$C$7^2+C25^2*$C$9^2+2*B25*C25*$C$7*$C$9*$C$10)</f>
        <v/>
      </c>
      <c r="F25" s="19">
        <f>(D25-$C$11)/E25</f>
        <v/>
      </c>
    </row>
    <row r="27" ht="20" customHeight="1">
      <c r="B27" s="11" t="inlineStr">
        <is>
          <t>Optimal portfolios</t>
        </is>
      </c>
    </row>
    <row r="28">
      <c r="B28" s="20" t="inlineStr">
        <is>
          <t>Minimum volatility</t>
        </is>
      </c>
      <c r="C28" s="21">
        <f>MIN(E15:E25)</f>
        <v/>
      </c>
    </row>
    <row r="29">
      <c r="B29" s="12" t="inlineStr">
        <is>
          <t xml:space="preserve">  at equity weight</t>
        </is>
      </c>
      <c r="C29" s="22">
        <f>INDEX(B15:B25,MATCH(MIN(E15:E25),E15:E25,0))</f>
        <v/>
      </c>
    </row>
    <row r="30">
      <c r="B30" s="20" t="inlineStr">
        <is>
          <t>Maximum Sharpe</t>
        </is>
      </c>
      <c r="C30" s="23">
        <f>MAX(F15:F25)</f>
        <v/>
      </c>
    </row>
    <row r="31">
      <c r="B31" s="24" t="inlineStr">
        <is>
          <t xml:space="preserve">  at equity weight</t>
        </is>
      </c>
      <c r="C31" s="25">
        <f>INDEX(B15:B25,MATCH(MAX(F15:F25),F15:F25,0))</f>
        <v/>
      </c>
    </row>
    <row r="33" ht="20" customHeight="1">
      <c r="B33" s="11" t="inlineStr">
        <is>
          <t>Key insights (auto-generated)</t>
        </is>
      </c>
    </row>
    <row r="34" ht="26" customHeight="1">
      <c r="B34" s="26">
        <f>"Adding bonds to equities lowers risk faster than return: the minimum-volatility mix sits at "&amp;TEXT(C29,"0%")&amp;" equities and "&amp;TEXT(C28,"0.0%")&amp;" volatility."</f>
        <v/>
      </c>
    </row>
    <row r="35" ht="26" customHeight="1">
      <c r="B35" s="26">
        <f>"The best risk-adjusted mix (max Sharpe of "&amp;TEXT(C30,"0.00")&amp;") holds about "&amp;TEXT(C31,"0%")&amp;" equities."</f>
        <v/>
      </c>
    </row>
  </sheetData>
  <mergeCells count="8">
    <mergeCell ref="B2:F2"/>
    <mergeCell ref="B3:F3"/>
    <mergeCell ref="B5:D5"/>
    <mergeCell ref="B13:F13"/>
    <mergeCell ref="B27:D27"/>
    <mergeCell ref="B33:F33"/>
    <mergeCell ref="B34:F34"/>
    <mergeCell ref="B35:F3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2026-09-07T20:54:14Z</dcterms:created>
  <dcterms:modified xmlns:dcterms="http://purl.org/dc/terms/" xmlns:xsi="http://www.w3.org/2001/XMLSchema-instance" xsi:type="dcterms:W3CDTF">2026-09-07T20:54:14Z</dcterms:modified>
</cp:coreProperties>
</file>