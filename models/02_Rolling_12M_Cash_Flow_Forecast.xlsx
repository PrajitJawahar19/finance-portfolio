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%;(0.0%);&quot;-&quot;"/>
  </numFmts>
  <fonts count="23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9"/>
    </font>
    <font>
      <name val="Arial"/>
      <b val="1"/>
      <color rgb="001F3A5F"/>
      <sz val="10"/>
    </font>
    <font>
      <name val="Arial"/>
      <color rgb="00222222"/>
      <sz val="10"/>
    </font>
    <font>
      <name val="Arial"/>
      <b val="1"/>
      <color rgb="000000FF"/>
      <sz val="9"/>
    </font>
    <font>
      <name val="Arial"/>
      <color rgb="00444444"/>
      <sz val="9"/>
    </font>
    <font>
      <name val="Arial"/>
      <b val="1"/>
      <color rgb="00000000"/>
      <sz val="9"/>
    </font>
    <font>
      <name val="Arial"/>
      <b val="1"/>
      <color rgb="00008000"/>
      <sz val="9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1F3A5F"/>
      <sz val="11"/>
    </font>
    <font>
      <name val="Arial"/>
      <b val="1"/>
      <color rgb="00FFFFFF"/>
      <sz val="9"/>
    </font>
    <font>
      <name val="Arial"/>
      <color rgb="000000FF"/>
      <sz val="9.5"/>
    </font>
    <font>
      <name val="Arial"/>
      <i val="1"/>
      <color rgb="006B7280"/>
      <sz val="8.5"/>
    </font>
    <font>
      <name val="Arial"/>
      <color rgb="006B7280"/>
      <sz val="10"/>
    </font>
    <font>
      <name val="Arial"/>
      <color rgb="00008000"/>
      <sz val="9.5"/>
    </font>
    <font>
      <name val="Arial"/>
      <color rgb="00222222"/>
      <sz val="9.5"/>
    </font>
    <font>
      <name val="Arial"/>
      <b val="1"/>
      <color rgb="00222222"/>
      <sz val="10"/>
    </font>
    <font>
      <name val="Arial"/>
      <b val="1"/>
      <color rgb="00222222"/>
      <sz val="9.5"/>
    </font>
    <font>
      <name val="Arial"/>
      <b val="1"/>
      <color rgb="00FFFFFF"/>
      <sz val="10"/>
    </font>
    <font>
      <name val="Arial"/>
      <b val="1"/>
      <color rgb="00FFFFFF"/>
      <sz val="9.5"/>
    </font>
    <font>
      <name val="Arial"/>
      <color rgb="00333333"/>
      <sz val="9.5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2E5A88"/>
      </patternFill>
    </fill>
    <fill>
      <patternFill patternType="solid">
        <fgColor rgb="00FFF2CC"/>
      </patternFill>
    </fill>
    <fill>
      <patternFill patternType="solid">
        <fgColor rgb="00EAF0F6"/>
      </patternFill>
    </fill>
    <fill>
      <patternFill patternType="solid">
        <fgColor rgb="0017B890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164" fontId="10" fillId="4" borderId="1" applyAlignment="1" pivotButton="0" quotePrefix="0" xfId="0">
      <alignment horizontal="right" vertical="center"/>
    </xf>
    <xf numFmtId="165" fontId="10" fillId="4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left" vertical="center"/>
    </xf>
    <xf numFmtId="0" fontId="12" fillId="3" borderId="1" applyAlignment="1" pivotButton="0" quotePrefix="0" xfId="0">
      <alignment horizontal="left" vertical="center"/>
    </xf>
    <xf numFmtId="0" fontId="12" fillId="3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164" fontId="13" fillId="4" borderId="1" applyAlignment="1" pivotButton="0" quotePrefix="0" xfId="0">
      <alignment horizontal="right" vertical="center"/>
    </xf>
    <xf numFmtId="0" fontId="14" fillId="0" borderId="0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center"/>
    </xf>
    <xf numFmtId="164" fontId="16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4" fontId="17" fillId="0" borderId="1" applyAlignment="1" pivotButton="0" quotePrefix="0" xfId="0">
      <alignment horizontal="right" vertical="center"/>
    </xf>
    <xf numFmtId="164" fontId="13" fillId="0" borderId="1" applyAlignment="1" pivotButton="0" quotePrefix="0" xfId="0">
      <alignment horizontal="right" vertical="center"/>
    </xf>
    <xf numFmtId="0" fontId="18" fillId="5" borderId="1" applyAlignment="1" pivotButton="0" quotePrefix="0" xfId="0">
      <alignment horizontal="left" vertical="center"/>
    </xf>
    <xf numFmtId="164" fontId="19" fillId="5" borderId="1" applyAlignment="1" pivotButton="0" quotePrefix="0" xfId="0">
      <alignment horizontal="right" vertical="center"/>
    </xf>
    <xf numFmtId="0" fontId="20" fillId="2" borderId="1" applyAlignment="1" pivotButton="0" quotePrefix="0" xfId="0">
      <alignment horizontal="left" vertical="center"/>
    </xf>
    <xf numFmtId="164" fontId="21" fillId="2" borderId="1" applyAlignment="1" pivotButton="0" quotePrefix="0" xfId="0">
      <alignment horizontal="right" vertical="center"/>
    </xf>
    <xf numFmtId="0" fontId="20" fillId="6" borderId="1" applyAlignment="1" pivotButton="0" quotePrefix="0" xfId="0">
      <alignment horizontal="left" vertical="center"/>
    </xf>
    <xf numFmtId="164" fontId="21" fillId="6" borderId="1" applyAlignment="1" pivotButton="0" quotePrefix="0" xfId="0">
      <alignment horizontal="right" vertical="center"/>
    </xf>
    <xf numFmtId="0" fontId="18" fillId="0" borderId="1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ont>
        <name val="Arial"/>
        <b val="1"/>
        <color rgb="00C0392B"/>
      </font>
      <fill>
        <patternFill patternType="solid">
          <fgColor rgb="00FBE3E0"/>
        </patternFill>
      </fill>
    </dxf>
    <dxf>
      <font>
        <name val="Arial"/>
        <b val="1"/>
        <color rgb="000F7A55"/>
      </font>
      <fill>
        <patternFill patternType="solid">
          <fgColor rgb="00D5F2E3"/>
        </patternFill>
      </fill>
    </dxf>
    <dxf>
      <font>
        <name val="Arial"/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Closing Cash vs. Minimum Covenant (€000)</a:t>
            </a:r>
          </a:p>
        </rich>
      </tx>
    </title>
    <plotArea>
      <lineChart>
        <grouping val="standard"/>
        <ser>
          <idx val="0"/>
          <order val="0"/>
          <tx>
            <strRef>
              <f>'Cash Flow'!B21</f>
            </strRef>
          </tx>
          <spPr>
            <a:ln xmlns:a="http://schemas.openxmlformats.org/drawingml/2006/main" w="28000">
              <a:solidFill>
                <a:srgbClr val="17B89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Flow'!$C$5:$N$5</f>
            </numRef>
          </cat>
          <val>
            <numRef>
              <f>'Cash Flow'!$C$21:$N$21</f>
            </numRef>
          </val>
        </ser>
        <ser>
          <idx val="1"/>
          <order val="1"/>
          <tx>
            <strRef>
              <f>'Cash Flow'!B22</f>
            </strRef>
          </tx>
          <spPr>
            <a:ln xmlns:a="http://schemas.openxmlformats.org/drawingml/2006/main" w="15000">
              <a:solidFill>
                <a:srgbClr val="C0392B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Flow'!$C$5:$N$5</f>
            </numRef>
          </cat>
          <val>
            <numRef>
              <f>'Cash Flow'!$C$22:$N$22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25</row>
      <rowOff>0</rowOff>
    </from>
    <ext cx="72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60" customWidth="1" min="3" max="3"/>
    <col width="2" customWidth="1" min="4" max="4"/>
  </cols>
  <sheetData>
    <row r="2" ht="30" customHeight="1">
      <c r="B2" s="1" t="inlineStr">
        <is>
          <t>HELIOS CONSUMER GmbH  ·  FP&amp;A Sample Model</t>
        </is>
      </c>
    </row>
    <row r="3" ht="16" customHeight="1">
      <c r="B3" s="2" t="inlineStr">
        <is>
          <t>Illustrative portfolio project. Prepared by Prajit Jawahar</t>
        </is>
      </c>
    </row>
    <row r="5" ht="30" customHeight="1">
      <c r="B5" s="3" t="inlineStr">
        <is>
          <t>Model</t>
        </is>
      </c>
      <c r="C5" s="4" t="inlineStr">
        <is>
          <t>02: 12-Month Rolling Cash Flow Forecast (FY2025)</t>
        </is>
      </c>
    </row>
    <row r="6" ht="60" customHeight="1">
      <c r="B6" s="3" t="inlineStr">
        <is>
          <t>Purpose</t>
        </is>
      </c>
      <c r="C6" s="4" t="inlineStr">
        <is>
          <t>Turn the operating plan into a month-by-month cash forecast: model collections and supplier payments with realistic timing lags, project the closing cash balance, and test it against a minimum-cash loan covenant.</t>
        </is>
      </c>
    </row>
    <row r="7" ht="45" customHeight="1">
      <c r="B7" s="3" t="inlineStr">
        <is>
          <t>Techniques shown</t>
        </is>
      </c>
      <c r="C7" s="4" t="inlineStr">
        <is>
          <t>Driver-based direct cash forecast · receivables &amp; payables timing lags · rolling opening/closing balance · covenant headroom test with status flag · chart.</t>
        </is>
      </c>
    </row>
    <row r="8" ht="45" customHeight="1">
      <c r="B8" s="3" t="inlineStr">
        <is>
          <t>How to use</t>
        </is>
      </c>
      <c r="C8" s="4" t="inlineStr">
        <is>
          <t>Edit the blue assumptions on the 'Assumptions' tab (collection split, cost drivers, capex and tax timing), and the whole 12-month forecast and covenant test recompute.</t>
        </is>
      </c>
    </row>
    <row r="9" ht="30" customHeight="1">
      <c r="B9" s="3" t="inlineStr">
        <is>
          <t>Currency / units</t>
        </is>
      </c>
      <c r="C9" s="4" t="inlineStr">
        <is>
          <t>All figures in EUR thousands (€000) unless stated.</t>
        </is>
      </c>
    </row>
    <row r="10" ht="30" customHeight="1">
      <c r="B10" s="3" t="inlineStr">
        <is>
          <t>Data</t>
        </is>
      </c>
      <c r="C10" s="4" t="inlineStr">
        <is>
          <t>Sample / illustrative figures for a fictional company. Not real financials.</t>
        </is>
      </c>
    </row>
    <row r="12">
      <c r="B12" s="5" t="inlineStr">
        <is>
          <t>Colour key</t>
        </is>
      </c>
    </row>
    <row r="13">
      <c r="B13" s="6" t="inlineStr">
        <is>
          <t xml:space="preserve">  Blue text</t>
        </is>
      </c>
      <c r="C13" s="7" t="inlineStr">
        <is>
          <t>Hard-coded input / assumption you can change</t>
        </is>
      </c>
    </row>
    <row r="14">
      <c r="B14" s="8" t="inlineStr">
        <is>
          <t xml:space="preserve">  Black text</t>
        </is>
      </c>
      <c r="C14" s="7" t="inlineStr">
        <is>
          <t>Formula, recalculates automatically</t>
        </is>
      </c>
    </row>
    <row r="15">
      <c r="B15" s="9" t="inlineStr">
        <is>
          <t xml:space="preserve">  Green text</t>
        </is>
      </c>
      <c r="C15" s="7" t="inlineStr">
        <is>
          <t>Links to another sheet</t>
        </is>
      </c>
    </row>
    <row r="16">
      <c r="B16" s="10" t="inlineStr">
        <is>
          <t xml:space="preserve">  Yellow fill</t>
        </is>
      </c>
      <c r="C16" s="7" t="inlineStr">
        <is>
          <t>Cells intended for you to fill in</t>
        </is>
      </c>
    </row>
  </sheetData>
  <mergeCells count="2">
    <mergeCell ref="B2:C2"/>
    <mergeCell ref="B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N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2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2" ht="30" customHeight="1">
      <c r="B2" s="1" t="inlineStr">
        <is>
          <t>Cash Flow Assumptions</t>
        </is>
      </c>
    </row>
    <row r="3" ht="16" customHeight="1">
      <c r="B3" s="2" t="inlineStr">
        <is>
          <t>All figures €000 unless shown as %. Blue = input you can change.</t>
        </is>
      </c>
    </row>
    <row r="5">
      <c r="B5" s="11" t="inlineStr">
        <is>
          <t>Opening cash balance (Jan)</t>
        </is>
      </c>
      <c r="C5" s="12" t="n">
        <v>3000</v>
      </c>
    </row>
    <row r="6">
      <c r="B6" s="11" t="inlineStr">
        <is>
          <t>Collections, % in month of sale</t>
        </is>
      </c>
      <c r="C6" s="13" t="n">
        <v>0.45</v>
      </c>
    </row>
    <row r="7">
      <c r="B7" s="11" t="inlineStr">
        <is>
          <t>Collections, % in following month</t>
        </is>
      </c>
      <c r="C7" s="13" t="n">
        <v>0.55</v>
      </c>
    </row>
    <row r="8">
      <c r="B8" s="11" t="inlineStr">
        <is>
          <t>COGS as % of revenue</t>
        </is>
      </c>
      <c r="C8" s="13" t="n">
        <v>0.608</v>
      </c>
    </row>
    <row r="9">
      <c r="B9" s="11" t="inlineStr">
        <is>
          <t>Payroll per month</t>
        </is>
      </c>
      <c r="C9" s="12" t="n">
        <v>700</v>
      </c>
    </row>
    <row r="10">
      <c r="B10" s="11" t="inlineStr">
        <is>
          <t>Other operating expenses per month</t>
        </is>
      </c>
      <c r="C10" s="12" t="n">
        <v>396</v>
      </c>
    </row>
    <row r="11">
      <c r="B11" s="11" t="inlineStr">
        <is>
          <t>Minimum cash covenant</t>
        </is>
      </c>
      <c r="C11" s="12" t="n">
        <v>2000</v>
      </c>
    </row>
    <row r="12">
      <c r="B12" s="11" t="inlineStr">
        <is>
          <t>Opening receivables (collected in Jan)</t>
        </is>
      </c>
      <c r="C12" s="12" t="n">
        <v>2400</v>
      </c>
    </row>
    <row r="13">
      <c r="B13" s="11" t="inlineStr">
        <is>
          <t>Opening payables (paid in Jan)</t>
        </is>
      </c>
      <c r="C13" s="12" t="n">
        <v>1600</v>
      </c>
    </row>
    <row r="15" ht="20" customHeight="1">
      <c r="B15" s="14" t="inlineStr">
        <is>
          <t>Monthly drivers (€000)</t>
        </is>
      </c>
    </row>
    <row r="16">
      <c r="B16" s="15" t="inlineStr">
        <is>
          <t>Driver</t>
        </is>
      </c>
      <c r="C16" s="16" t="inlineStr">
        <is>
          <t>Jan</t>
        </is>
      </c>
      <c r="D16" s="16" t="inlineStr">
        <is>
          <t>Feb</t>
        </is>
      </c>
      <c r="E16" s="16" t="inlineStr">
        <is>
          <t>Mar</t>
        </is>
      </c>
      <c r="F16" s="16" t="inlineStr">
        <is>
          <t>Apr</t>
        </is>
      </c>
      <c r="G16" s="16" t="inlineStr">
        <is>
          <t>May</t>
        </is>
      </c>
      <c r="H16" s="16" t="inlineStr">
        <is>
          <t>Jun</t>
        </is>
      </c>
      <c r="I16" s="16" t="inlineStr">
        <is>
          <t>Jul</t>
        </is>
      </c>
      <c r="J16" s="16" t="inlineStr">
        <is>
          <t>Aug</t>
        </is>
      </c>
      <c r="K16" s="16" t="inlineStr">
        <is>
          <t>Sep</t>
        </is>
      </c>
      <c r="L16" s="16" t="inlineStr">
        <is>
          <t>Oct</t>
        </is>
      </c>
      <c r="M16" s="16" t="inlineStr">
        <is>
          <t>Nov</t>
        </is>
      </c>
      <c r="N16" s="16" t="inlineStr">
        <is>
          <t>Dec</t>
        </is>
      </c>
    </row>
    <row r="17">
      <c r="B17" s="17" t="inlineStr">
        <is>
          <t>Net revenue</t>
        </is>
      </c>
      <c r="C17" s="18" t="n">
        <v>3300</v>
      </c>
      <c r="D17" s="18" t="n">
        <v>3450</v>
      </c>
      <c r="E17" s="18" t="n">
        <v>3900</v>
      </c>
      <c r="F17" s="18" t="n">
        <v>3780</v>
      </c>
      <c r="G17" s="18" t="n">
        <v>3960</v>
      </c>
      <c r="H17" s="18" t="n">
        <v>3900</v>
      </c>
      <c r="I17" s="18" t="n">
        <v>3700</v>
      </c>
      <c r="J17" s="18" t="n">
        <v>3540</v>
      </c>
      <c r="K17" s="18" t="n">
        <v>4250</v>
      </c>
      <c r="L17" s="18" t="n">
        <v>4480</v>
      </c>
      <c r="M17" s="18" t="n">
        <v>4950</v>
      </c>
      <c r="N17" s="18" t="n">
        <v>6290</v>
      </c>
    </row>
    <row r="18">
      <c r="B18" s="17" t="inlineStr">
        <is>
          <t>Capital expenditure</t>
        </is>
      </c>
      <c r="C18" s="18" t="n">
        <v>0</v>
      </c>
      <c r="D18" s="18" t="n">
        <v>0</v>
      </c>
      <c r="E18" s="18" t="n">
        <v>400</v>
      </c>
      <c r="F18" s="18" t="n">
        <v>0</v>
      </c>
      <c r="G18" s="18" t="n">
        <v>0</v>
      </c>
      <c r="H18" s="18" t="n">
        <v>0</v>
      </c>
      <c r="I18" s="18" t="n">
        <v>0</v>
      </c>
      <c r="J18" s="18" t="n">
        <v>0</v>
      </c>
      <c r="K18" s="18" t="n">
        <v>600</v>
      </c>
      <c r="L18" s="18" t="n">
        <v>0</v>
      </c>
      <c r="M18" s="18" t="n">
        <v>0</v>
      </c>
      <c r="N18" s="18" t="n">
        <v>0</v>
      </c>
    </row>
    <row r="19">
      <c r="B19" s="17" t="inlineStr">
        <is>
          <t>Tax payments</t>
        </is>
      </c>
      <c r="C19" s="18" t="n">
        <v>0</v>
      </c>
      <c r="D19" s="18" t="n">
        <v>0</v>
      </c>
      <c r="E19" s="18" t="n">
        <v>350</v>
      </c>
      <c r="F19" s="18" t="n">
        <v>0</v>
      </c>
      <c r="G19" s="18" t="n">
        <v>0</v>
      </c>
      <c r="H19" s="18" t="n">
        <v>350</v>
      </c>
      <c r="I19" s="18" t="n">
        <v>0</v>
      </c>
      <c r="J19" s="18" t="n">
        <v>0</v>
      </c>
      <c r="K19" s="18" t="n">
        <v>350</v>
      </c>
      <c r="L19" s="18" t="n">
        <v>0</v>
      </c>
      <c r="M19" s="18" t="n">
        <v>0</v>
      </c>
      <c r="N19" s="18" t="n">
        <v>350</v>
      </c>
    </row>
    <row r="21">
      <c r="B21" s="19" t="inlineStr">
        <is>
          <t>Revenue drives collections; COGS (as % of revenue) drives supplier payments one month later.</t>
        </is>
      </c>
    </row>
    <row r="22">
      <c r="B22" s="19" t="inlineStr">
        <is>
          <t>Timing: 45% of a month's sales are collected that month, 55% the next. Suppliers are paid the month after the cost is incurred.</t>
        </is>
      </c>
    </row>
  </sheetData>
  <mergeCells count="3">
    <mergeCell ref="B2:F2"/>
    <mergeCell ref="B3:F3"/>
    <mergeCell ref="B15:N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4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</cols>
  <sheetData>
    <row r="2" ht="30" customHeight="1">
      <c r="B2" s="1" t="inlineStr">
        <is>
          <t>FY2025 Direct Cash Flow Forecast</t>
        </is>
      </c>
    </row>
    <row r="3" ht="16" customHeight="1">
      <c r="B3" s="2" t="inlineStr">
        <is>
          <t>EUR thousands (€000). Green = linked from Assumptions. Rolling monthly balance with covenant test.</t>
        </is>
      </c>
    </row>
    <row r="5">
      <c r="B5" s="15" t="inlineStr">
        <is>
          <t>€000</t>
        </is>
      </c>
      <c r="C5" s="16" t="inlineStr">
        <is>
          <t>Jan</t>
        </is>
      </c>
      <c r="D5" s="16" t="inlineStr">
        <is>
          <t>Feb</t>
        </is>
      </c>
      <c r="E5" s="16" t="inlineStr">
        <is>
          <t>Mar</t>
        </is>
      </c>
      <c r="F5" s="16" t="inlineStr">
        <is>
          <t>Apr</t>
        </is>
      </c>
      <c r="G5" s="16" t="inlineStr">
        <is>
          <t>May</t>
        </is>
      </c>
      <c r="H5" s="16" t="inlineStr">
        <is>
          <t>Jun</t>
        </is>
      </c>
      <c r="I5" s="16" t="inlineStr">
        <is>
          <t>Jul</t>
        </is>
      </c>
      <c r="J5" s="16" t="inlineStr">
        <is>
          <t>Aug</t>
        </is>
      </c>
      <c r="K5" s="16" t="inlineStr">
        <is>
          <t>Sep</t>
        </is>
      </c>
      <c r="L5" s="16" t="inlineStr">
        <is>
          <t>Oct</t>
        </is>
      </c>
      <c r="M5" s="16" t="inlineStr">
        <is>
          <t>Nov</t>
        </is>
      </c>
      <c r="N5" s="16" t="inlineStr">
        <is>
          <t>Dec</t>
        </is>
      </c>
    </row>
    <row r="6">
      <c r="B6" s="20" t="inlineStr">
        <is>
          <t>Net revenue (memo)</t>
        </is>
      </c>
      <c r="C6" s="21">
        <f>Assumptions!C17</f>
        <v/>
      </c>
      <c r="D6" s="21">
        <f>Assumptions!D17</f>
        <v/>
      </c>
      <c r="E6" s="21">
        <f>Assumptions!E17</f>
        <v/>
      </c>
      <c r="F6" s="21">
        <f>Assumptions!F17</f>
        <v/>
      </c>
      <c r="G6" s="21">
        <f>Assumptions!G17</f>
        <v/>
      </c>
      <c r="H6" s="21">
        <f>Assumptions!H17</f>
        <v/>
      </c>
      <c r="I6" s="21">
        <f>Assumptions!I17</f>
        <v/>
      </c>
      <c r="J6" s="21">
        <f>Assumptions!J17</f>
        <v/>
      </c>
      <c r="K6" s="21">
        <f>Assumptions!K17</f>
        <v/>
      </c>
      <c r="L6" s="21">
        <f>Assumptions!L17</f>
        <v/>
      </c>
      <c r="M6" s="21">
        <f>Assumptions!M17</f>
        <v/>
      </c>
      <c r="N6" s="21">
        <f>Assumptions!N17</f>
        <v/>
      </c>
    </row>
    <row r="7">
      <c r="B7" s="5" t="inlineStr">
        <is>
          <t>CASH INFLOWS</t>
        </is>
      </c>
    </row>
    <row r="8">
      <c r="B8" s="22" t="inlineStr">
        <is>
          <t>Collections from customers</t>
        </is>
      </c>
      <c r="C8" s="23">
        <f>Assumptions!$C$6*C6+Assumptions!$C$12</f>
        <v/>
      </c>
      <c r="D8" s="23">
        <f>Assumptions!$C$6*D6+Assumptions!$C$7*C6</f>
        <v/>
      </c>
      <c r="E8" s="23">
        <f>Assumptions!$C$6*E6+Assumptions!$C$7*D6</f>
        <v/>
      </c>
      <c r="F8" s="23">
        <f>Assumptions!$C$6*F6+Assumptions!$C$7*E6</f>
        <v/>
      </c>
      <c r="G8" s="23">
        <f>Assumptions!$C$6*G6+Assumptions!$C$7*F6</f>
        <v/>
      </c>
      <c r="H8" s="23">
        <f>Assumptions!$C$6*H6+Assumptions!$C$7*G6</f>
        <v/>
      </c>
      <c r="I8" s="23">
        <f>Assumptions!$C$6*I6+Assumptions!$C$7*H6</f>
        <v/>
      </c>
      <c r="J8" s="23">
        <f>Assumptions!$C$6*J6+Assumptions!$C$7*I6</f>
        <v/>
      </c>
      <c r="K8" s="23">
        <f>Assumptions!$C$6*K6+Assumptions!$C$7*J6</f>
        <v/>
      </c>
      <c r="L8" s="23">
        <f>Assumptions!$C$6*L6+Assumptions!$C$7*K6</f>
        <v/>
      </c>
      <c r="M8" s="23">
        <f>Assumptions!$C$6*M6+Assumptions!$C$7*L6</f>
        <v/>
      </c>
      <c r="N8" s="23">
        <f>Assumptions!$C$6*N6+Assumptions!$C$7*M6</f>
        <v/>
      </c>
    </row>
    <row r="9">
      <c r="B9" s="22" t="inlineStr">
        <is>
          <t>Other inflows</t>
        </is>
      </c>
      <c r="C9" s="24" t="n">
        <v>0</v>
      </c>
      <c r="D9" s="24" t="n">
        <v>0</v>
      </c>
      <c r="E9" s="24" t="n">
        <v>0</v>
      </c>
      <c r="F9" s="24" t="n">
        <v>0</v>
      </c>
      <c r="G9" s="24" t="n">
        <v>0</v>
      </c>
      <c r="H9" s="24" t="n">
        <v>0</v>
      </c>
      <c r="I9" s="24" t="n">
        <v>0</v>
      </c>
      <c r="J9" s="24" t="n">
        <v>0</v>
      </c>
      <c r="K9" s="24" t="n">
        <v>0</v>
      </c>
      <c r="L9" s="24" t="n">
        <v>0</v>
      </c>
      <c r="M9" s="24" t="n">
        <v>0</v>
      </c>
      <c r="N9" s="24" t="n">
        <v>0</v>
      </c>
    </row>
    <row r="10">
      <c r="B10" s="25" t="inlineStr">
        <is>
          <t>Total cash inflows</t>
        </is>
      </c>
      <c r="C10" s="26">
        <f>C8+C9</f>
        <v/>
      </c>
      <c r="D10" s="26">
        <f>D8+D9</f>
        <v/>
      </c>
      <c r="E10" s="26">
        <f>E8+E9</f>
        <v/>
      </c>
      <c r="F10" s="26">
        <f>F8+F9</f>
        <v/>
      </c>
      <c r="G10" s="26">
        <f>G8+G9</f>
        <v/>
      </c>
      <c r="H10" s="26">
        <f>H8+H9</f>
        <v/>
      </c>
      <c r="I10" s="26">
        <f>I8+I9</f>
        <v/>
      </c>
      <c r="J10" s="26">
        <f>J8+J9</f>
        <v/>
      </c>
      <c r="K10" s="26">
        <f>K8+K9</f>
        <v/>
      </c>
      <c r="L10" s="26">
        <f>L8+L9</f>
        <v/>
      </c>
      <c r="M10" s="26">
        <f>M8+M9</f>
        <v/>
      </c>
      <c r="N10" s="26">
        <f>N8+N9</f>
        <v/>
      </c>
    </row>
    <row r="11">
      <c r="B11" s="5" t="inlineStr">
        <is>
          <t>CASH OUTFLOWS</t>
        </is>
      </c>
    </row>
    <row r="12">
      <c r="B12" s="22" t="inlineStr">
        <is>
          <t>Supplier payments (COGS, 1-mo lag)</t>
        </is>
      </c>
      <c r="C12" s="23">
        <f>Assumptions!$C$13</f>
        <v/>
      </c>
      <c r="D12" s="23">
        <f>Assumptions!$C$8*C6</f>
        <v/>
      </c>
      <c r="E12" s="23">
        <f>Assumptions!$C$8*D6</f>
        <v/>
      </c>
      <c r="F12" s="23">
        <f>Assumptions!$C$8*E6</f>
        <v/>
      </c>
      <c r="G12" s="23">
        <f>Assumptions!$C$8*F6</f>
        <v/>
      </c>
      <c r="H12" s="23">
        <f>Assumptions!$C$8*G6</f>
        <v/>
      </c>
      <c r="I12" s="23">
        <f>Assumptions!$C$8*H6</f>
        <v/>
      </c>
      <c r="J12" s="23">
        <f>Assumptions!$C$8*I6</f>
        <v/>
      </c>
      <c r="K12" s="23">
        <f>Assumptions!$C$8*J6</f>
        <v/>
      </c>
      <c r="L12" s="23">
        <f>Assumptions!$C$8*K6</f>
        <v/>
      </c>
      <c r="M12" s="23">
        <f>Assumptions!$C$8*L6</f>
        <v/>
      </c>
      <c r="N12" s="23">
        <f>Assumptions!$C$8*M6</f>
        <v/>
      </c>
    </row>
    <row r="13">
      <c r="B13" s="22" t="inlineStr">
        <is>
          <t>Payroll</t>
        </is>
      </c>
      <c r="C13" s="21">
        <f>Assumptions!$C$9</f>
        <v/>
      </c>
      <c r="D13" s="21">
        <f>Assumptions!$C$9</f>
        <v/>
      </c>
      <c r="E13" s="21">
        <f>Assumptions!$C$9</f>
        <v/>
      </c>
      <c r="F13" s="21">
        <f>Assumptions!$C$9</f>
        <v/>
      </c>
      <c r="G13" s="21">
        <f>Assumptions!$C$9</f>
        <v/>
      </c>
      <c r="H13" s="21">
        <f>Assumptions!$C$9</f>
        <v/>
      </c>
      <c r="I13" s="21">
        <f>Assumptions!$C$9</f>
        <v/>
      </c>
      <c r="J13" s="21">
        <f>Assumptions!$C$9</f>
        <v/>
      </c>
      <c r="K13" s="21">
        <f>Assumptions!$C$9</f>
        <v/>
      </c>
      <c r="L13" s="21">
        <f>Assumptions!$C$9</f>
        <v/>
      </c>
      <c r="M13" s="21">
        <f>Assumptions!$C$9</f>
        <v/>
      </c>
      <c r="N13" s="21">
        <f>Assumptions!$C$9</f>
        <v/>
      </c>
    </row>
    <row r="14">
      <c r="B14" s="22" t="inlineStr">
        <is>
          <t>Other operating expenses</t>
        </is>
      </c>
      <c r="C14" s="21">
        <f>Assumptions!$C$10</f>
        <v/>
      </c>
      <c r="D14" s="21">
        <f>Assumptions!$C$10</f>
        <v/>
      </c>
      <c r="E14" s="21">
        <f>Assumptions!$C$10</f>
        <v/>
      </c>
      <c r="F14" s="21">
        <f>Assumptions!$C$10</f>
        <v/>
      </c>
      <c r="G14" s="21">
        <f>Assumptions!$C$10</f>
        <v/>
      </c>
      <c r="H14" s="21">
        <f>Assumptions!$C$10</f>
        <v/>
      </c>
      <c r="I14" s="21">
        <f>Assumptions!$C$10</f>
        <v/>
      </c>
      <c r="J14" s="21">
        <f>Assumptions!$C$10</f>
        <v/>
      </c>
      <c r="K14" s="21">
        <f>Assumptions!$C$10</f>
        <v/>
      </c>
      <c r="L14" s="21">
        <f>Assumptions!$C$10</f>
        <v/>
      </c>
      <c r="M14" s="21">
        <f>Assumptions!$C$10</f>
        <v/>
      </c>
      <c r="N14" s="21">
        <f>Assumptions!$C$10</f>
        <v/>
      </c>
    </row>
    <row r="15">
      <c r="B15" s="22" t="inlineStr">
        <is>
          <t>Capital expenditure</t>
        </is>
      </c>
      <c r="C15" s="21">
        <f>Assumptions!C18</f>
        <v/>
      </c>
      <c r="D15" s="21">
        <f>Assumptions!D18</f>
        <v/>
      </c>
      <c r="E15" s="21">
        <f>Assumptions!E18</f>
        <v/>
      </c>
      <c r="F15" s="21">
        <f>Assumptions!F18</f>
        <v/>
      </c>
      <c r="G15" s="21">
        <f>Assumptions!G18</f>
        <v/>
      </c>
      <c r="H15" s="21">
        <f>Assumptions!H18</f>
        <v/>
      </c>
      <c r="I15" s="21">
        <f>Assumptions!I18</f>
        <v/>
      </c>
      <c r="J15" s="21">
        <f>Assumptions!J18</f>
        <v/>
      </c>
      <c r="K15" s="21">
        <f>Assumptions!K18</f>
        <v/>
      </c>
      <c r="L15" s="21">
        <f>Assumptions!L18</f>
        <v/>
      </c>
      <c r="M15" s="21">
        <f>Assumptions!M18</f>
        <v/>
      </c>
      <c r="N15" s="21">
        <f>Assumptions!N18</f>
        <v/>
      </c>
    </row>
    <row r="16">
      <c r="B16" s="22" t="inlineStr">
        <is>
          <t>Tax payments</t>
        </is>
      </c>
      <c r="C16" s="21">
        <f>Assumptions!C19</f>
        <v/>
      </c>
      <c r="D16" s="21">
        <f>Assumptions!D19</f>
        <v/>
      </c>
      <c r="E16" s="21">
        <f>Assumptions!E19</f>
        <v/>
      </c>
      <c r="F16" s="21">
        <f>Assumptions!F19</f>
        <v/>
      </c>
      <c r="G16" s="21">
        <f>Assumptions!G19</f>
        <v/>
      </c>
      <c r="H16" s="21">
        <f>Assumptions!H19</f>
        <v/>
      </c>
      <c r="I16" s="21">
        <f>Assumptions!I19</f>
        <v/>
      </c>
      <c r="J16" s="21">
        <f>Assumptions!J19</f>
        <v/>
      </c>
      <c r="K16" s="21">
        <f>Assumptions!K19</f>
        <v/>
      </c>
      <c r="L16" s="21">
        <f>Assumptions!L19</f>
        <v/>
      </c>
      <c r="M16" s="21">
        <f>Assumptions!M19</f>
        <v/>
      </c>
      <c r="N16" s="21">
        <f>Assumptions!N19</f>
        <v/>
      </c>
    </row>
    <row r="17">
      <c r="B17" s="25" t="inlineStr">
        <is>
          <t>Total cash outflows</t>
        </is>
      </c>
      <c r="C17" s="26">
        <f>SUM(C12:C16)</f>
        <v/>
      </c>
      <c r="D17" s="26">
        <f>SUM(D12:D16)</f>
        <v/>
      </c>
      <c r="E17" s="26">
        <f>SUM(E12:E16)</f>
        <v/>
      </c>
      <c r="F17" s="26">
        <f>SUM(F12:F16)</f>
        <v/>
      </c>
      <c r="G17" s="26">
        <f>SUM(G12:G16)</f>
        <v/>
      </c>
      <c r="H17" s="26">
        <f>SUM(H12:H16)</f>
        <v/>
      </c>
      <c r="I17" s="26">
        <f>SUM(I12:I16)</f>
        <v/>
      </c>
      <c r="J17" s="26">
        <f>SUM(J12:J16)</f>
        <v/>
      </c>
      <c r="K17" s="26">
        <f>SUM(K12:K16)</f>
        <v/>
      </c>
      <c r="L17" s="26">
        <f>SUM(L12:L16)</f>
        <v/>
      </c>
      <c r="M17" s="26">
        <f>SUM(M12:M16)</f>
        <v/>
      </c>
      <c r="N17" s="26">
        <f>SUM(N12:N16)</f>
        <v/>
      </c>
    </row>
    <row r="18">
      <c r="B18" s="27" t="inlineStr">
        <is>
          <t>Net cash flow</t>
        </is>
      </c>
      <c r="C18" s="28">
        <f>C10-C17</f>
        <v/>
      </c>
      <c r="D18" s="28">
        <f>D10-D17</f>
        <v/>
      </c>
      <c r="E18" s="28">
        <f>E10-E17</f>
        <v/>
      </c>
      <c r="F18" s="28">
        <f>F10-F17</f>
        <v/>
      </c>
      <c r="G18" s="28">
        <f>G10-G17</f>
        <v/>
      </c>
      <c r="H18" s="28">
        <f>H10-H17</f>
        <v/>
      </c>
      <c r="I18" s="28">
        <f>I10-I17</f>
        <v/>
      </c>
      <c r="J18" s="28">
        <f>J10-J17</f>
        <v/>
      </c>
      <c r="K18" s="28">
        <f>K10-K17</f>
        <v/>
      </c>
      <c r="L18" s="28">
        <f>L10-L17</f>
        <v/>
      </c>
      <c r="M18" s="28">
        <f>M10-M17</f>
        <v/>
      </c>
      <c r="N18" s="28">
        <f>N10-N17</f>
        <v/>
      </c>
    </row>
    <row r="20">
      <c r="B20" s="22" t="inlineStr">
        <is>
          <t>Opening cash</t>
        </is>
      </c>
      <c r="C20" s="23">
        <f>Assumptions!$C$5</f>
        <v/>
      </c>
      <c r="D20" s="23">
        <f>C21</f>
        <v/>
      </c>
      <c r="E20" s="23">
        <f>D21</f>
        <v/>
      </c>
      <c r="F20" s="23">
        <f>E21</f>
        <v/>
      </c>
      <c r="G20" s="23">
        <f>F21</f>
        <v/>
      </c>
      <c r="H20" s="23">
        <f>G21</f>
        <v/>
      </c>
      <c r="I20" s="23">
        <f>H21</f>
        <v/>
      </c>
      <c r="J20" s="23">
        <f>I21</f>
        <v/>
      </c>
      <c r="K20" s="23">
        <f>J21</f>
        <v/>
      </c>
      <c r="L20" s="23">
        <f>K21</f>
        <v/>
      </c>
      <c r="M20" s="23">
        <f>L21</f>
        <v/>
      </c>
      <c r="N20" s="23">
        <f>M21</f>
        <v/>
      </c>
    </row>
    <row r="21">
      <c r="B21" s="29" t="inlineStr">
        <is>
          <t>Closing cash</t>
        </is>
      </c>
      <c r="C21" s="30">
        <f>C20+C18</f>
        <v/>
      </c>
      <c r="D21" s="30">
        <f>D20+D18</f>
        <v/>
      </c>
      <c r="E21" s="30">
        <f>E20+E18</f>
        <v/>
      </c>
      <c r="F21" s="30">
        <f>F20+F18</f>
        <v/>
      </c>
      <c r="G21" s="30">
        <f>G20+G18</f>
        <v/>
      </c>
      <c r="H21" s="30">
        <f>H20+H18</f>
        <v/>
      </c>
      <c r="I21" s="30">
        <f>I20+I18</f>
        <v/>
      </c>
      <c r="J21" s="30">
        <f>J20+J18</f>
        <v/>
      </c>
      <c r="K21" s="30">
        <f>K20+K18</f>
        <v/>
      </c>
      <c r="L21" s="30">
        <f>L20+L18</f>
        <v/>
      </c>
      <c r="M21" s="30">
        <f>M20+M18</f>
        <v/>
      </c>
      <c r="N21" s="30">
        <f>N20+N18</f>
        <v/>
      </c>
    </row>
    <row r="22">
      <c r="B22" s="20" t="inlineStr">
        <is>
          <t>Minimum cash covenant</t>
        </is>
      </c>
      <c r="C22" s="21">
        <f>Assumptions!$C$11</f>
        <v/>
      </c>
      <c r="D22" s="21">
        <f>Assumptions!$C$11</f>
        <v/>
      </c>
      <c r="E22" s="21">
        <f>Assumptions!$C$11</f>
        <v/>
      </c>
      <c r="F22" s="21">
        <f>Assumptions!$C$11</f>
        <v/>
      </c>
      <c r="G22" s="21">
        <f>Assumptions!$C$11</f>
        <v/>
      </c>
      <c r="H22" s="21">
        <f>Assumptions!$C$11</f>
        <v/>
      </c>
      <c r="I22" s="21">
        <f>Assumptions!$C$11</f>
        <v/>
      </c>
      <c r="J22" s="21">
        <f>Assumptions!$C$11</f>
        <v/>
      </c>
      <c r="K22" s="21">
        <f>Assumptions!$C$11</f>
        <v/>
      </c>
      <c r="L22" s="21">
        <f>Assumptions!$C$11</f>
        <v/>
      </c>
      <c r="M22" s="21">
        <f>Assumptions!$C$11</f>
        <v/>
      </c>
      <c r="N22" s="21">
        <f>Assumptions!$C$11</f>
        <v/>
      </c>
    </row>
    <row r="23">
      <c r="B23" s="22" t="inlineStr">
        <is>
          <t>Liquidity headroom</t>
        </is>
      </c>
      <c r="C23" s="23">
        <f>C21-C22</f>
        <v/>
      </c>
      <c r="D23" s="23">
        <f>D21-D22</f>
        <v/>
      </c>
      <c r="E23" s="23">
        <f>E21-E22</f>
        <v/>
      </c>
      <c r="F23" s="23">
        <f>F21-F22</f>
        <v/>
      </c>
      <c r="G23" s="23">
        <f>G21-G22</f>
        <v/>
      </c>
      <c r="H23" s="23">
        <f>H21-H22</f>
        <v/>
      </c>
      <c r="I23" s="23">
        <f>I21-I22</f>
        <v/>
      </c>
      <c r="J23" s="23">
        <f>J21-J22</f>
        <v/>
      </c>
      <c r="K23" s="23">
        <f>K21-K22</f>
        <v/>
      </c>
      <c r="L23" s="23">
        <f>L21-L22</f>
        <v/>
      </c>
      <c r="M23" s="23">
        <f>M21-M22</f>
        <v/>
      </c>
      <c r="N23" s="23">
        <f>N21-N22</f>
        <v/>
      </c>
    </row>
    <row r="24">
      <c r="B24" s="31" t="inlineStr">
        <is>
          <t>Covenant status</t>
        </is>
      </c>
      <c r="C24" s="32">
        <f>IF(C21&lt;C22,"BREACH","OK")</f>
        <v/>
      </c>
      <c r="D24" s="32">
        <f>IF(D21&lt;D22,"BREACH","OK")</f>
        <v/>
      </c>
      <c r="E24" s="32">
        <f>IF(E21&lt;E22,"BREACH","OK")</f>
        <v/>
      </c>
      <c r="F24" s="32">
        <f>IF(F21&lt;F22,"BREACH","OK")</f>
        <v/>
      </c>
      <c r="G24" s="32">
        <f>IF(G21&lt;G22,"BREACH","OK")</f>
        <v/>
      </c>
      <c r="H24" s="32">
        <f>IF(H21&lt;H22,"BREACH","OK")</f>
        <v/>
      </c>
      <c r="I24" s="32">
        <f>IF(I21&lt;I22,"BREACH","OK")</f>
        <v/>
      </c>
      <c r="J24" s="32">
        <f>IF(J21&lt;J22,"BREACH","OK")</f>
        <v/>
      </c>
      <c r="K24" s="32">
        <f>IF(K21&lt;K22,"BREACH","OK")</f>
        <v/>
      </c>
      <c r="L24" s="32">
        <f>IF(L21&lt;L22,"BREACH","OK")</f>
        <v/>
      </c>
      <c r="M24" s="32">
        <f>IF(M21&lt;M22,"BREACH","OK")</f>
        <v/>
      </c>
      <c r="N24" s="32">
        <f>IF(N21&lt;N22,"BREACH","OK")</f>
        <v/>
      </c>
    </row>
    <row r="42" ht="20" customHeight="1">
      <c r="B42" s="14" t="inlineStr">
        <is>
          <t>Key insights (auto-generated)</t>
        </is>
      </c>
    </row>
    <row r="43" ht="26" customHeight="1">
      <c r="B43" s="33">
        <f>"Cash builds from €"&amp;TEXT(C20,"#,##0")&amp;"k to €"&amp;TEXT(N21,"#,##0")&amp;"k over the year, generating €"&amp;TEXT(N21-C20,"#,##0")&amp;"k of net cash."</f>
        <v/>
      </c>
    </row>
    <row r="44" ht="26" customHeight="1">
      <c r="B44" s="33">
        <f>"The tightest month is when headroom is lowest, so watch Q1, when fixed costs and the March tax and capex outflow land before Q4 collections arrive."</f>
        <v/>
      </c>
    </row>
    <row r="45" ht="26" customHeight="1">
      <c r="B45" s="33">
        <f>"Every month clears the €"&amp;TEXT(C22,"#,##0")&amp;"k covenant; the smallest buffer is the value to manage with supplier terms or a revolving facility."</f>
        <v/>
      </c>
    </row>
  </sheetData>
  <mergeCells count="6">
    <mergeCell ref="B2:N2"/>
    <mergeCell ref="B3:N3"/>
    <mergeCell ref="B42:H42"/>
    <mergeCell ref="B43:J43"/>
    <mergeCell ref="B44:J44"/>
    <mergeCell ref="B45:J45"/>
  </mergeCells>
  <conditionalFormatting sqref="C24:N24">
    <cfRule type="expression" priority="1" dxfId="0">
      <formula>C24="BREACH"</formula>
    </cfRule>
    <cfRule type="expression" priority="2" dxfId="1">
      <formula>C24="OK"</formula>
    </cfRule>
  </conditionalFormatting>
  <conditionalFormatting sqref="C23:N23">
    <cfRule type="expression" priority="3" dxfId="2">
      <formula>C23&lt;0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2026-08-09T17:43:18Z</dcterms:created>
  <dcterms:modified xmlns:dcterms="http://purl.org/dc/terms/" xmlns:xsi="http://www.w3.org/2001/XMLSchema-instance" xsi:type="dcterms:W3CDTF">2026-08-09T17:43:18Z</dcterms:modified>
</cp:coreProperties>
</file>