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ield 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€ #,##0"/>
    <numFmt numFmtId="166" formatCode="#,##0.0;(#,##0.0);&quot;-&quot;"/>
    <numFmt numFmtId="167" formatCode="0.0%;(0.0%);&quot;-&quot;"/>
    <numFmt numFmtId="168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00FF"/>
      <sz val="10"/>
    </font>
    <font>
      <name val="Arial"/>
      <b val="1"/>
      <color rgb="001F3A5F"/>
      <sz val="11"/>
    </font>
    <font>
      <name val="Arial"/>
      <b val="1"/>
      <color rgb="00FFFFFF"/>
      <sz val="8.5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5" fillId="5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 limits by fare class (seats)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'Yield Optimization'!$B$9:$B$12</f>
            </numRef>
          </cat>
          <val>
            <numRef>
              <f>'Yield Optimization'!$F$9:$F$12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vs authorised capacity (EUR)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6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'Yield Optimization'!$B$27:$B$37</f>
            </numRef>
          </cat>
          <val>
            <numRef>
              <f>'Yield Optimization'!$G$27:$G$37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TRAVEL GROUP  ·  Sample Model</t>
        </is>
      </c>
    </row>
    <row r="3" ht="16" customHeight="1">
      <c r="B3" s="2" t="inlineStr">
        <is>
          <t>Illustrative revenue-management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28: Fare-Class Protection (EMSR-b) &amp; Overbooking (Helios Airlines)</t>
        </is>
      </c>
    </row>
    <row r="6" ht="75" customHeight="1">
      <c r="B6" s="3" t="inlineStr">
        <is>
          <t>Purpose</t>
        </is>
      </c>
      <c r="C6" s="4" t="inlineStr">
        <is>
          <t>Optimise revenue on a fixed-capacity flight: set nested protection levels and booking limits across fare classes with the EMSR-b heuristic, then choose the overbooking level that balances the cost of denied boardings against empty-seat spoilage.</t>
        </is>
      </c>
    </row>
    <row r="7" ht="60" customHeight="1">
      <c r="B7" s="3" t="inlineStr">
        <is>
          <t>Techniques shown</t>
        </is>
      </c>
      <c r="C7" s="4" t="inlineStr">
        <is>
          <t>EMSR-b protection levels (demand-weighted fares, aggregated demand) · NORMSINV service levels · nested booking limits · overbooking / authorised-capacity optimisation · expected-revenue view.</t>
        </is>
      </c>
    </row>
    <row r="8" ht="45" customHeight="1">
      <c r="B8" s="3" t="inlineStr">
        <is>
          <t>How to use</t>
        </is>
      </c>
      <c r="C8" s="4" t="inlineStr">
        <is>
          <t>Update the blue fares, class demand (mean/std), capacity, no-show rate and cost inputs; protection levels, booking limits and the optimal overbooking level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Yellow fill</t>
        </is>
      </c>
      <c r="C14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2" customWidth="1" min="10" max="10"/>
  </cols>
  <sheetData>
    <row r="2" ht="30" customHeight="1">
      <c r="B2" s="1" t="inlineStr">
        <is>
          <t>Helios Airlines — Fare-Class Yield &amp; Overbooking</t>
        </is>
      </c>
    </row>
    <row r="3" ht="16" customHeight="1">
      <c r="B3" s="2" t="inlineStr">
        <is>
          <t>Seats and EUR. Blue = input. Single-cabin, nested fare classes, high-to-low.</t>
        </is>
      </c>
    </row>
    <row r="5">
      <c r="B5" s="9" t="inlineStr">
        <is>
          <t>Cabin capacity (seats)</t>
        </is>
      </c>
      <c r="C5" s="10" t="n">
        <v>150</v>
      </c>
    </row>
    <row r="7" ht="20" customHeight="1">
      <c r="B7" s="11" t="inlineStr">
        <is>
          <t>Fare classes (high to low)</t>
        </is>
      </c>
    </row>
    <row r="8" ht="26" customHeight="1">
      <c r="B8" s="12" t="inlineStr">
        <is>
          <t>Class</t>
        </is>
      </c>
      <c r="C8" s="13" t="inlineStr">
        <is>
          <t>Fare (EUR)</t>
        </is>
      </c>
      <c r="D8" s="13" t="inlineStr">
        <is>
          <t>Mean demand</t>
        </is>
      </c>
      <c r="E8" s="13" t="inlineStr">
        <is>
          <t>Std dev</t>
        </is>
      </c>
      <c r="F8" s="13" t="inlineStr">
        <is>
          <t>Booking limit</t>
        </is>
      </c>
    </row>
    <row r="9">
      <c r="B9" s="14" t="inlineStr">
        <is>
          <t>Y — Full</t>
        </is>
      </c>
      <c r="C9" s="15" t="n">
        <v>420</v>
      </c>
      <c r="D9" s="16" t="n">
        <v>25</v>
      </c>
      <c r="E9" s="16" t="n">
        <v>10</v>
      </c>
      <c r="F9" s="17">
        <f>$C$5</f>
        <v/>
      </c>
    </row>
    <row r="10">
      <c r="B10" s="14" t="inlineStr">
        <is>
          <t>M — Flexible</t>
        </is>
      </c>
      <c r="C10" s="15" t="n">
        <v>300</v>
      </c>
      <c r="D10" s="16" t="n">
        <v>40</v>
      </c>
      <c r="E10" s="16" t="n">
        <v>15</v>
      </c>
      <c r="F10" s="17">
        <f>MAX(0,$C$5-I16)</f>
        <v/>
      </c>
    </row>
    <row r="11">
      <c r="B11" s="14" t="inlineStr">
        <is>
          <t>B — Standard</t>
        </is>
      </c>
      <c r="C11" s="15" t="n">
        <v>210</v>
      </c>
      <c r="D11" s="16" t="n">
        <v>55</v>
      </c>
      <c r="E11" s="16" t="n">
        <v>20</v>
      </c>
      <c r="F11" s="17">
        <f>MAX(0,$C$5-I17)</f>
        <v/>
      </c>
    </row>
    <row r="12">
      <c r="B12" s="14" t="inlineStr">
        <is>
          <t>Q — Discount</t>
        </is>
      </c>
      <c r="C12" s="15" t="n">
        <v>140</v>
      </c>
      <c r="D12" s="16" t="n">
        <v>70</v>
      </c>
      <c r="E12" s="16" t="n">
        <v>25</v>
      </c>
      <c r="F12" s="17">
        <f>MAX(0,$C$5-I18)</f>
        <v/>
      </c>
    </row>
    <row r="14" ht="20" customHeight="1">
      <c r="B14" s="11" t="inlineStr">
        <is>
          <t>EMSR-b protection (protect higher classes from the next lower class)</t>
        </is>
      </c>
    </row>
    <row r="15" ht="26" customHeight="1">
      <c r="B15" s="12" t="inlineStr">
        <is>
          <t>Protect classes</t>
        </is>
      </c>
      <c r="C15" s="13" t="inlineStr">
        <is>
          <t>Agg. mean</t>
        </is>
      </c>
      <c r="D15" s="13" t="inlineStr">
        <is>
          <t>Wtd avg fare</t>
        </is>
      </c>
      <c r="E15" s="13" t="inlineStr">
        <is>
          <t>Agg. std</t>
        </is>
      </c>
      <c r="F15" s="13" t="inlineStr">
        <is>
          <t>Next fare</t>
        </is>
      </c>
      <c r="G15" s="13" t="inlineStr">
        <is>
          <t>Crit. ratio</t>
        </is>
      </c>
      <c r="H15" s="13" t="inlineStr">
        <is>
          <t>z (NORMSINV)</t>
        </is>
      </c>
      <c r="I15" s="13" t="inlineStr">
        <is>
          <t>Protection</t>
        </is>
      </c>
    </row>
    <row r="16">
      <c r="B16" s="14" t="inlineStr">
        <is>
          <t>Y</t>
        </is>
      </c>
      <c r="C16" s="18">
        <f>SUM(D9:D9)</f>
        <v/>
      </c>
      <c r="D16" s="19">
        <f>SUMPRODUCT(C9:C9,D9:D9)/C16</f>
        <v/>
      </c>
      <c r="E16" s="18">
        <f>SQRT(SUMPRODUCT(E9:E9,E9:E9))</f>
        <v/>
      </c>
      <c r="F16" s="19">
        <f>C10</f>
        <v/>
      </c>
      <c r="G16" s="20">
        <f>1-F16/D16</f>
        <v/>
      </c>
      <c r="H16" s="21">
        <f>NORMSINV(G16)</f>
        <v/>
      </c>
      <c r="I16" s="22">
        <f>C16+H16*E16</f>
        <v/>
      </c>
    </row>
    <row r="17">
      <c r="B17" s="14" t="inlineStr">
        <is>
          <t>Y + M</t>
        </is>
      </c>
      <c r="C17" s="18">
        <f>SUM(D9:D10)</f>
        <v/>
      </c>
      <c r="D17" s="19">
        <f>SUMPRODUCT(C9:C10,D9:D10)/C17</f>
        <v/>
      </c>
      <c r="E17" s="18">
        <f>SQRT(SUMPRODUCT(E9:E10,E9:E10))</f>
        <v/>
      </c>
      <c r="F17" s="19">
        <f>C11</f>
        <v/>
      </c>
      <c r="G17" s="20">
        <f>1-F17/D17</f>
        <v/>
      </c>
      <c r="H17" s="21">
        <f>NORMSINV(G17)</f>
        <v/>
      </c>
      <c r="I17" s="22">
        <f>C17+H17*E17</f>
        <v/>
      </c>
    </row>
    <row r="18">
      <c r="B18" s="14" t="inlineStr">
        <is>
          <t>Y + M + B</t>
        </is>
      </c>
      <c r="C18" s="18">
        <f>SUM(D9:D11)</f>
        <v/>
      </c>
      <c r="D18" s="19">
        <f>SUMPRODUCT(C9:C11,D9:D11)/C18</f>
        <v/>
      </c>
      <c r="E18" s="18">
        <f>SQRT(SUMPRODUCT(E9:E11,E9:E11))</f>
        <v/>
      </c>
      <c r="F18" s="19">
        <f>C12</f>
        <v/>
      </c>
      <c r="G18" s="20">
        <f>1-F18/D18</f>
        <v/>
      </c>
      <c r="H18" s="21">
        <f>NORMSINV(G18)</f>
        <v/>
      </c>
      <c r="I18" s="22">
        <f>C18+H18*E18</f>
        <v/>
      </c>
    </row>
    <row r="20" ht="20" customHeight="1">
      <c r="B20" s="11" t="inlineStr">
        <is>
          <t>Overbooking assumptions</t>
        </is>
      </c>
    </row>
    <row r="21">
      <c r="B21" s="9" t="inlineStr">
        <is>
          <t>No-show rate</t>
        </is>
      </c>
      <c r="C21" s="23" t="n">
        <v>0.08</v>
      </c>
    </row>
    <row r="22">
      <c r="B22" s="9" t="inlineStr">
        <is>
          <t>Denied-boarding cost (EUR)</t>
        </is>
      </c>
      <c r="C22" s="24" t="n">
        <v>600</v>
      </c>
    </row>
    <row r="23">
      <c r="B23" s="9" t="inlineStr">
        <is>
          <t>Average fare (EUR)</t>
        </is>
      </c>
      <c r="C23" s="24" t="n">
        <v>250</v>
      </c>
    </row>
    <row r="25" ht="20" customHeight="1">
      <c r="B25" s="11" t="inlineStr">
        <is>
          <t>Overbooking optimisation (authorised capacity)</t>
        </is>
      </c>
    </row>
    <row r="26" ht="26" customHeight="1">
      <c r="B26" s="12" t="inlineStr">
        <is>
          <t>Authorised</t>
        </is>
      </c>
      <c r="C26" s="13" t="inlineStr">
        <is>
          <t>Exp. shows</t>
        </is>
      </c>
      <c r="D26" s="13" t="inlineStr">
        <is>
          <t>Seated</t>
        </is>
      </c>
      <c r="E26" s="13" t="inlineStr">
        <is>
          <t>Denied boardings</t>
        </is>
      </c>
      <c r="F26" s="13" t="inlineStr">
        <is>
          <t>Spoiled seats</t>
        </is>
      </c>
      <c r="G26" s="13" t="inlineStr">
        <is>
          <t>Net revenue</t>
        </is>
      </c>
    </row>
    <row r="27">
      <c r="B27" s="16" t="n">
        <v>150</v>
      </c>
      <c r="C27" s="18">
        <f>B27*(1-$C$21)</f>
        <v/>
      </c>
      <c r="D27" s="18">
        <f>MIN(C27,$C$5)</f>
        <v/>
      </c>
      <c r="E27" s="18">
        <f>MAX(0,C27-$C$5)</f>
        <v/>
      </c>
      <c r="F27" s="18">
        <f>MAX(0,$C$5-C27)</f>
        <v/>
      </c>
      <c r="G27" s="19">
        <f>D27*$C$23-E27*$C$22</f>
        <v/>
      </c>
    </row>
    <row r="28">
      <c r="B28" s="16" t="n">
        <v>152</v>
      </c>
      <c r="C28" s="18">
        <f>B28*(1-$C$21)</f>
        <v/>
      </c>
      <c r="D28" s="18">
        <f>MIN(C28,$C$5)</f>
        <v/>
      </c>
      <c r="E28" s="18">
        <f>MAX(0,C28-$C$5)</f>
        <v/>
      </c>
      <c r="F28" s="18">
        <f>MAX(0,$C$5-C28)</f>
        <v/>
      </c>
      <c r="G28" s="19">
        <f>D28*$C$23-E28*$C$22</f>
        <v/>
      </c>
    </row>
    <row r="29">
      <c r="B29" s="16" t="n">
        <v>154</v>
      </c>
      <c r="C29" s="18">
        <f>B29*(1-$C$21)</f>
        <v/>
      </c>
      <c r="D29" s="18">
        <f>MIN(C29,$C$5)</f>
        <v/>
      </c>
      <c r="E29" s="18">
        <f>MAX(0,C29-$C$5)</f>
        <v/>
      </c>
      <c r="F29" s="18">
        <f>MAX(0,$C$5-C29)</f>
        <v/>
      </c>
      <c r="G29" s="19">
        <f>D29*$C$23-E29*$C$22</f>
        <v/>
      </c>
    </row>
    <row r="30">
      <c r="B30" s="16" t="n">
        <v>156</v>
      </c>
      <c r="C30" s="18">
        <f>B30*(1-$C$21)</f>
        <v/>
      </c>
      <c r="D30" s="18">
        <f>MIN(C30,$C$5)</f>
        <v/>
      </c>
      <c r="E30" s="18">
        <f>MAX(0,C30-$C$5)</f>
        <v/>
      </c>
      <c r="F30" s="18">
        <f>MAX(0,$C$5-C30)</f>
        <v/>
      </c>
      <c r="G30" s="19">
        <f>D30*$C$23-E30*$C$22</f>
        <v/>
      </c>
    </row>
    <row r="31">
      <c r="B31" s="16" t="n">
        <v>158</v>
      </c>
      <c r="C31" s="18">
        <f>B31*(1-$C$21)</f>
        <v/>
      </c>
      <c r="D31" s="18">
        <f>MIN(C31,$C$5)</f>
        <v/>
      </c>
      <c r="E31" s="18">
        <f>MAX(0,C31-$C$5)</f>
        <v/>
      </c>
      <c r="F31" s="18">
        <f>MAX(0,$C$5-C31)</f>
        <v/>
      </c>
      <c r="G31" s="19">
        <f>D31*$C$23-E31*$C$22</f>
        <v/>
      </c>
    </row>
    <row r="32">
      <c r="B32" s="16" t="n">
        <v>160</v>
      </c>
      <c r="C32" s="18">
        <f>B32*(1-$C$21)</f>
        <v/>
      </c>
      <c r="D32" s="18">
        <f>MIN(C32,$C$5)</f>
        <v/>
      </c>
      <c r="E32" s="18">
        <f>MAX(0,C32-$C$5)</f>
        <v/>
      </c>
      <c r="F32" s="18">
        <f>MAX(0,$C$5-C32)</f>
        <v/>
      </c>
      <c r="G32" s="19">
        <f>D32*$C$23-E32*$C$22</f>
        <v/>
      </c>
    </row>
    <row r="33">
      <c r="B33" s="16" t="n">
        <v>162</v>
      </c>
      <c r="C33" s="18">
        <f>B33*(1-$C$21)</f>
        <v/>
      </c>
      <c r="D33" s="18">
        <f>MIN(C33,$C$5)</f>
        <v/>
      </c>
      <c r="E33" s="18">
        <f>MAX(0,C33-$C$5)</f>
        <v/>
      </c>
      <c r="F33" s="18">
        <f>MAX(0,$C$5-C33)</f>
        <v/>
      </c>
      <c r="G33" s="19">
        <f>D33*$C$23-E33*$C$22</f>
        <v/>
      </c>
    </row>
    <row r="34">
      <c r="B34" s="16" t="n">
        <v>164</v>
      </c>
      <c r="C34" s="18">
        <f>B34*(1-$C$21)</f>
        <v/>
      </c>
      <c r="D34" s="18">
        <f>MIN(C34,$C$5)</f>
        <v/>
      </c>
      <c r="E34" s="18">
        <f>MAX(0,C34-$C$5)</f>
        <v/>
      </c>
      <c r="F34" s="18">
        <f>MAX(0,$C$5-C34)</f>
        <v/>
      </c>
      <c r="G34" s="19">
        <f>D34*$C$23-E34*$C$22</f>
        <v/>
      </c>
    </row>
    <row r="35">
      <c r="B35" s="16" t="n">
        <v>166</v>
      </c>
      <c r="C35" s="18">
        <f>B35*(1-$C$21)</f>
        <v/>
      </c>
      <c r="D35" s="18">
        <f>MIN(C35,$C$5)</f>
        <v/>
      </c>
      <c r="E35" s="18">
        <f>MAX(0,C35-$C$5)</f>
        <v/>
      </c>
      <c r="F35" s="18">
        <f>MAX(0,$C$5-C35)</f>
        <v/>
      </c>
      <c r="G35" s="19">
        <f>D35*$C$23-E35*$C$22</f>
        <v/>
      </c>
    </row>
    <row r="36">
      <c r="B36" s="16" t="n">
        <v>168</v>
      </c>
      <c r="C36" s="18">
        <f>B36*(1-$C$21)</f>
        <v/>
      </c>
      <c r="D36" s="18">
        <f>MIN(C36,$C$5)</f>
        <v/>
      </c>
      <c r="E36" s="18">
        <f>MAX(0,C36-$C$5)</f>
        <v/>
      </c>
      <c r="F36" s="18">
        <f>MAX(0,$C$5-C36)</f>
        <v/>
      </c>
      <c r="G36" s="19">
        <f>D36*$C$23-E36*$C$22</f>
        <v/>
      </c>
    </row>
    <row r="37">
      <c r="B37" s="16" t="n">
        <v>170</v>
      </c>
      <c r="C37" s="18">
        <f>B37*(1-$C$21)</f>
        <v/>
      </c>
      <c r="D37" s="18">
        <f>MIN(C37,$C$5)</f>
        <v/>
      </c>
      <c r="E37" s="18">
        <f>MAX(0,C37-$C$5)</f>
        <v/>
      </c>
      <c r="F37" s="18">
        <f>MAX(0,$C$5-C37)</f>
        <v/>
      </c>
      <c r="G37" s="19">
        <f>D37*$C$23-E37*$C$22</f>
        <v/>
      </c>
    </row>
    <row r="39" ht="20" customHeight="1">
      <c r="B39" s="11" t="inlineStr">
        <is>
          <t>Optimal decisions</t>
        </is>
      </c>
    </row>
    <row r="40">
      <c r="B40" s="25" t="inlineStr">
        <is>
          <t>Optimal authorised capacity</t>
        </is>
      </c>
      <c r="C40" s="26">
        <f>INDEX(B27:B37,MATCH(MAX(G27:G37),G27:G37,0))</f>
        <v/>
      </c>
    </row>
    <row r="41">
      <c r="B41" s="27" t="inlineStr">
        <is>
          <t>Net revenue at optimum (EUR)</t>
        </is>
      </c>
      <c r="C41" s="28">
        <f>MAX(G27:G37)</f>
        <v/>
      </c>
    </row>
    <row r="42">
      <c r="B42" s="27" t="inlineStr">
        <is>
          <t>Overbooking above capacity</t>
        </is>
      </c>
      <c r="C42" s="29">
        <f>C40-C5</f>
        <v/>
      </c>
    </row>
    <row r="44" ht="20" customHeight="1">
      <c r="B44" s="11" t="inlineStr">
        <is>
          <t>Key insights (auto-generated)</t>
        </is>
      </c>
    </row>
    <row r="45" ht="26" customHeight="1">
      <c r="B45" s="30">
        <f>"EMSR-b protects "&amp;TEXT(I16,"0")&amp;" seats for full-fare Y and "&amp;TEXT(I18,"0")&amp;" for the top three classes, leaving a Q (discount) booking limit of "&amp;TEXT(F12,"0")&amp;" seats."</f>
        <v/>
      </c>
    </row>
    <row r="46" ht="26" customHeight="1">
      <c r="B46" s="30">
        <f>"Overbooking to "&amp;TEXT(C40,"0")&amp;" authorised seats ("&amp;TEXT(C42,"0")&amp;" above capacity) offsets the "&amp;TEXT(C21,"0%")&amp;" no-show rate and lifts net revenue to about €"&amp;TEXT(C41,"#,##0")&amp;"."</f>
        <v/>
      </c>
    </row>
    <row r="47" ht="26" customHeight="1">
      <c r="B47" s="30">
        <f>"Together, protection and overbooking convert a fixed 150-seat cabin into a revenue-maximising inventory."</f>
        <v/>
      </c>
    </row>
  </sheetData>
  <mergeCells count="11">
    <mergeCell ref="B2:I2"/>
    <mergeCell ref="B3:I3"/>
    <mergeCell ref="B7:F7"/>
    <mergeCell ref="B14:I14"/>
    <mergeCell ref="B20:C20"/>
    <mergeCell ref="B25:I25"/>
    <mergeCell ref="B39:C39"/>
    <mergeCell ref="B44:I44"/>
    <mergeCell ref="B45:I45"/>
    <mergeCell ref="B46:I46"/>
    <mergeCell ref="B47:I4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2026-09-23T12:55:45Z</dcterms:created>
  <dcterms:modified xmlns:dcterms="http://purl.org/dc/terms/" xmlns:xsi="http://www.w3.org/2001/XMLSchema-instance" xsi:type="dcterms:W3CDTF">2026-09-23T12:55:45Z</dcterms:modified>
</cp:coreProperties>
</file>