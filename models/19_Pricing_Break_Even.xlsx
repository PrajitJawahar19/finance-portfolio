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c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"/>
    <numFmt numFmtId="165" formatCode="0.0"/>
    <numFmt numFmtId="166" formatCode="0.0%;(0.0%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0000FF"/>
      <sz val="10"/>
    </font>
    <font>
      <name val="Arial"/>
      <b val="1"/>
      <color rgb="00222222"/>
      <sz val="10"/>
    </font>
    <font>
      <name val="Arial"/>
      <b val="1"/>
      <color rgb="00FFFFFF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333333"/>
      <sz val="9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  <fill>
      <patternFill patternType="solid">
        <fgColor rgb="00EAF0F6"/>
      </patternFill>
    </fill>
    <fill>
      <patternFill patternType="solid">
        <fgColor rgb="0017B89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10" fillId="4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164" fontId="11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11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center" vertical="center" wrapText="1"/>
    </xf>
    <xf numFmtId="164" fontId="13" fillId="4" borderId="1" applyAlignment="1" pivotButton="0" quotePrefix="0" xfId="0">
      <alignment horizontal="right" vertical="center"/>
    </xf>
    <xf numFmtId="3" fontId="14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left" vertical="center"/>
    </xf>
    <xf numFmtId="164" fontId="15" fillId="6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price point (€)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17B890"/>
            </a:solidFill>
            <a:ln xmlns:a="http://schemas.openxmlformats.org/drawingml/2006/main">
              <a:prstDash val="solid"/>
            </a:ln>
          </spPr>
          <cat>
            <numRef>
              <f>'Pricing'!$B$22:$B$28</f>
            </numRef>
          </cat>
          <val>
            <numRef>
              <f>'Pricing'!$F$22:$F$28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19: Pricing &amp; Break-Even Analysis</t>
        </is>
      </c>
    </row>
    <row r="6" ht="60" customHeight="1">
      <c r="B6" s="3" t="inlineStr">
        <is>
          <t>Purpose</t>
        </is>
      </c>
      <c r="C6" s="4" t="inlineStr">
        <is>
          <t>Find the price that makes money: contribution margin and break-even volume, then a price/elasticity grid that projects volume, revenue and profit across price points to locate the profit-maximising price.</t>
        </is>
      </c>
    </row>
    <row r="7" ht="45" customHeight="1">
      <c r="B7" s="3" t="inlineStr">
        <is>
          <t>Techniques shown</t>
        </is>
      </c>
      <c r="C7" s="4" t="inlineStr">
        <is>
          <t>Contribution margin · break-even units &amp; revenue · target-profit volume · price elasticity of demand · profit-maximising price search.</t>
        </is>
      </c>
    </row>
    <row r="8" ht="30" customHeight="1">
      <c r="B8" s="3" t="inlineStr">
        <is>
          <t>How to use</t>
        </is>
      </c>
      <c r="C8" s="4" t="inlineStr">
        <is>
          <t>Change the blue cost, fixed-cost, base price/volume or elasticity; break-even and the optimal price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2" customWidth="1" min="8" max="8"/>
  </cols>
  <sheetData>
    <row r="2" ht="30" customHeight="1">
      <c r="B2" s="1" t="inlineStr">
        <is>
          <t>Pricing &amp; Break-Even</t>
        </is>
      </c>
    </row>
    <row r="3" ht="16" customHeight="1">
      <c r="B3" s="2" t="inlineStr">
        <is>
          <t>€ and units. Blue = input.</t>
        </is>
      </c>
    </row>
    <row r="5" ht="20" customHeight="1">
      <c r="B5" s="11" t="inlineStr">
        <is>
          <t>Cost structure</t>
        </is>
      </c>
    </row>
    <row r="6">
      <c r="B6" s="12" t="inlineStr">
        <is>
          <t>Base price (€/unit)</t>
        </is>
      </c>
      <c r="C6" s="13" t="n">
        <v>50</v>
      </c>
    </row>
    <row r="7">
      <c r="B7" s="12" t="inlineStr">
        <is>
          <t>Variable cost (€/unit)</t>
        </is>
      </c>
      <c r="C7" s="13" t="n">
        <v>30</v>
      </c>
    </row>
    <row r="8">
      <c r="B8" s="12" t="inlineStr">
        <is>
          <t>Fixed costs (€)</t>
        </is>
      </c>
      <c r="C8" s="13" t="n">
        <v>240000</v>
      </c>
    </row>
    <row r="9">
      <c r="B9" s="12" t="inlineStr">
        <is>
          <t>Target profit (€)</t>
        </is>
      </c>
      <c r="C9" s="13" t="n">
        <v>120000</v>
      </c>
    </row>
    <row r="10">
      <c r="B10" s="12" t="inlineStr">
        <is>
          <t>Base volume at base price (units)</t>
        </is>
      </c>
      <c r="C10" s="14" t="n">
        <v>20000</v>
      </c>
    </row>
    <row r="11">
      <c r="B11" s="12" t="inlineStr">
        <is>
          <t>Price elasticity of demand</t>
        </is>
      </c>
      <c r="C11" s="15" t="n">
        <v>-1.8</v>
      </c>
    </row>
    <row r="13" ht="20" customHeight="1">
      <c r="B13" s="11" t="inlineStr">
        <is>
          <t>Break-even</t>
        </is>
      </c>
    </row>
    <row r="14">
      <c r="B14" s="16" t="inlineStr">
        <is>
          <t>Contribution margin (€/unit)</t>
        </is>
      </c>
      <c r="C14" s="17">
        <f>C6-C7</f>
        <v/>
      </c>
    </row>
    <row r="15">
      <c r="B15" s="12" t="inlineStr">
        <is>
          <t>Contribution margin ratio</t>
        </is>
      </c>
      <c r="C15" s="18">
        <f>C14/C6</f>
        <v/>
      </c>
    </row>
    <row r="16">
      <c r="B16" s="16" t="inlineStr">
        <is>
          <t>Break-even (units)</t>
        </is>
      </c>
      <c r="C16" s="19">
        <f>C8/C14</f>
        <v/>
      </c>
    </row>
    <row r="17">
      <c r="B17" s="12" t="inlineStr">
        <is>
          <t>Break-even revenue (€)</t>
        </is>
      </c>
      <c r="C17" s="20">
        <f>C16*C6</f>
        <v/>
      </c>
    </row>
    <row r="18">
      <c r="B18" s="12" t="inlineStr">
        <is>
          <t>Units for target profit</t>
        </is>
      </c>
      <c r="C18" s="21">
        <f>(C8+C9)/C14</f>
        <v/>
      </c>
    </row>
    <row r="20" ht="20" customHeight="1">
      <c r="B20" s="11" t="inlineStr">
        <is>
          <t>Price scenarios (elasticity-based)</t>
        </is>
      </c>
    </row>
    <row r="21" ht="26" customHeight="1">
      <c r="B21" s="22" t="inlineStr">
        <is>
          <t>Price (€)</t>
        </is>
      </c>
      <c r="C21" s="23" t="inlineStr">
        <is>
          <t>Volume (units)</t>
        </is>
      </c>
      <c r="D21" s="23" t="inlineStr">
        <is>
          <t>Revenue (€)</t>
        </is>
      </c>
      <c r="E21" s="23" t="inlineStr">
        <is>
          <t>Total cost (€)</t>
        </is>
      </c>
      <c r="F21" s="23" t="inlineStr">
        <is>
          <t>Profit (€)</t>
        </is>
      </c>
    </row>
    <row r="22">
      <c r="B22" s="24" t="n">
        <v>45</v>
      </c>
      <c r="C22" s="25">
        <f>$C$10*POWER(B22/$C$6,$C$11)</f>
        <v/>
      </c>
      <c r="D22" s="26">
        <f>B22*C22</f>
        <v/>
      </c>
      <c r="E22" s="26">
        <f>$C$7*C22+$C$8</f>
        <v/>
      </c>
      <c r="F22" s="26">
        <f>D22-E22</f>
        <v/>
      </c>
    </row>
    <row r="23">
      <c r="B23" s="24" t="n">
        <v>50</v>
      </c>
      <c r="C23" s="25">
        <f>$C$10*POWER(B23/$C$6,$C$11)</f>
        <v/>
      </c>
      <c r="D23" s="26">
        <f>B23*C23</f>
        <v/>
      </c>
      <c r="E23" s="26">
        <f>$C$7*C23+$C$8</f>
        <v/>
      </c>
      <c r="F23" s="26">
        <f>D23-E23</f>
        <v/>
      </c>
    </row>
    <row r="24">
      <c r="B24" s="24" t="n">
        <v>55</v>
      </c>
      <c r="C24" s="25">
        <f>$C$10*POWER(B24/$C$6,$C$11)</f>
        <v/>
      </c>
      <c r="D24" s="26">
        <f>B24*C24</f>
        <v/>
      </c>
      <c r="E24" s="26">
        <f>$C$7*C24+$C$8</f>
        <v/>
      </c>
      <c r="F24" s="26">
        <f>D24-E24</f>
        <v/>
      </c>
    </row>
    <row r="25">
      <c r="B25" s="24" t="n">
        <v>60</v>
      </c>
      <c r="C25" s="25">
        <f>$C$10*POWER(B25/$C$6,$C$11)</f>
        <v/>
      </c>
      <c r="D25" s="26">
        <f>B25*C25</f>
        <v/>
      </c>
      <c r="E25" s="26">
        <f>$C$7*C25+$C$8</f>
        <v/>
      </c>
      <c r="F25" s="26">
        <f>D25-E25</f>
        <v/>
      </c>
    </row>
    <row r="26">
      <c r="B26" s="24" t="n">
        <v>65</v>
      </c>
      <c r="C26" s="25">
        <f>$C$10*POWER(B26/$C$6,$C$11)</f>
        <v/>
      </c>
      <c r="D26" s="26">
        <f>B26*C26</f>
        <v/>
      </c>
      <c r="E26" s="26">
        <f>$C$7*C26+$C$8</f>
        <v/>
      </c>
      <c r="F26" s="26">
        <f>D26-E26</f>
        <v/>
      </c>
    </row>
    <row r="27">
      <c r="B27" s="24" t="n">
        <v>70</v>
      </c>
      <c r="C27" s="25">
        <f>$C$10*POWER(B27/$C$6,$C$11)</f>
        <v/>
      </c>
      <c r="D27" s="26">
        <f>B27*C27</f>
        <v/>
      </c>
      <c r="E27" s="26">
        <f>$C$7*C27+$C$8</f>
        <v/>
      </c>
      <c r="F27" s="26">
        <f>D27-E27</f>
        <v/>
      </c>
    </row>
    <row r="28">
      <c r="B28" s="24" t="n">
        <v>75</v>
      </c>
      <c r="C28" s="25">
        <f>$C$10*POWER(B28/$C$6,$C$11)</f>
        <v/>
      </c>
      <c r="D28" s="26">
        <f>B28*C28</f>
        <v/>
      </c>
      <c r="E28" s="26">
        <f>$C$7*C28+$C$8</f>
        <v/>
      </c>
      <c r="F28" s="26">
        <f>D28-E28</f>
        <v/>
      </c>
    </row>
    <row r="30">
      <c r="B30" s="27" t="inlineStr">
        <is>
          <t>Profit-maximising price (€)</t>
        </is>
      </c>
      <c r="C30" s="28">
        <f>INDEX(B22:B28,MATCH(MAX(F22:F28),F22:F28,0))</f>
        <v/>
      </c>
    </row>
    <row r="31">
      <c r="B31" s="16" t="inlineStr">
        <is>
          <t>Profit at that price (€)</t>
        </is>
      </c>
      <c r="C31" s="17">
        <f>MAX(F22:F28)</f>
        <v/>
      </c>
    </row>
    <row r="33" ht="20" customHeight="1">
      <c r="B33" s="11" t="inlineStr">
        <is>
          <t>Key insight (auto-generated)</t>
        </is>
      </c>
    </row>
    <row r="34" ht="40" customHeight="1">
      <c r="B34" s="29">
        <f>"Break-even is "&amp;TEXT(C16,"#,##0")&amp;" units. With elastic demand ("&amp;TEXT(C11,"0.0")&amp;"), profit peaks near €"&amp;TEXT(C30,"#,##0")&amp;"/unit at €"&amp;TEXT(C31,"#,##0")&amp;" profit."</f>
        <v/>
      </c>
    </row>
  </sheetData>
  <mergeCells count="7">
    <mergeCell ref="B2:G2"/>
    <mergeCell ref="B3:G3"/>
    <mergeCell ref="B5:C5"/>
    <mergeCell ref="B13:C13"/>
    <mergeCell ref="B20:G20"/>
    <mergeCell ref="B33:G33"/>
    <mergeCell ref="B34:G3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2026-09-07T20:59:42Z</dcterms:created>
  <dcterms:modified xmlns:dcterms="http://purl.org/dc/terms/" xmlns:xsi="http://www.w3.org/2001/XMLSchema-instance" xsi:type="dcterms:W3CDTF">2026-09-07T20:59:42Z</dcterms:modified>
</cp:coreProperties>
</file>