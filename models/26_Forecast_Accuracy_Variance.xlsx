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orecast Accurac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;(0.0%);&quot;-&quot;"/>
    <numFmt numFmtId="165" formatCode="#,##0;(#,##0);&quot;-&quot;"/>
  </numFmts>
  <fonts count="19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FFFFFF"/>
      <sz val="9"/>
    </font>
    <font>
      <name val="Arial"/>
      <b val="1"/>
      <color rgb="001F3A5F"/>
      <sz val="10"/>
    </font>
    <font>
      <name val="Arial"/>
      <color rgb="00222222"/>
      <sz val="10"/>
    </font>
    <font>
      <name val="Arial"/>
      <b val="1"/>
      <color rgb="000000FF"/>
      <sz val="9"/>
    </font>
    <font>
      <name val="Arial"/>
      <color rgb="00444444"/>
      <sz val="9"/>
    </font>
    <font>
      <name val="Arial"/>
      <b val="1"/>
      <color rgb="00000000"/>
      <sz val="9"/>
    </font>
    <font>
      <name val="Arial"/>
      <b val="1"/>
      <color rgb="00008000"/>
      <sz val="9"/>
    </font>
    <font>
      <name val="Arial"/>
      <b val="1"/>
      <color rgb="000000FF"/>
      <sz val="10"/>
    </font>
    <font>
      <name val="Arial"/>
      <b val="1"/>
      <color rgb="00FFFFFF"/>
      <sz val="9"/>
    </font>
    <font>
      <name val="Arial"/>
      <color rgb="00000000"/>
      <sz val="10"/>
    </font>
    <font>
      <name val="Arial"/>
      <color rgb="000000FF"/>
      <sz val="10"/>
    </font>
    <font>
      <name val="Arial"/>
      <b val="1"/>
      <color rgb="00222222"/>
      <sz val="10"/>
    </font>
    <font>
      <name val="Arial"/>
      <b val="1"/>
      <color rgb="00222222"/>
      <sz val="9.5"/>
    </font>
    <font>
      <name val="Arial"/>
      <color rgb="00222222"/>
      <sz val="9.5"/>
    </font>
    <font>
      <name val="Arial"/>
      <b val="1"/>
      <color rgb="001F3A5F"/>
      <sz val="11"/>
    </font>
    <font>
      <name val="Arial"/>
      <b val="1"/>
      <color rgb="00FFFFFF"/>
      <sz val="10"/>
    </font>
    <font>
      <name val="Arial"/>
      <color rgb="00333333"/>
      <sz val="9.5"/>
    </font>
  </fonts>
  <fills count="7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2E5A88"/>
      </patternFill>
    </fill>
    <fill>
      <patternFill patternType="solid">
        <fgColor rgb="00FFF2CC"/>
      </patternFill>
    </fill>
    <fill>
      <patternFill patternType="solid">
        <fgColor rgb="00EAF0F6"/>
      </patternFill>
    </fill>
    <fill>
      <patternFill patternType="solid">
        <fgColor rgb="0017B890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7" fillId="4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164" fontId="9" fillId="4" borderId="1" applyAlignment="1" pivotButton="0" quotePrefix="0" xfId="0">
      <alignment horizontal="right" vertical="center"/>
    </xf>
    <xf numFmtId="0" fontId="10" fillId="3" borderId="1" applyAlignment="1" pivotButton="0" quotePrefix="0" xfId="0">
      <alignment horizontal="left" vertical="center"/>
    </xf>
    <xf numFmtId="0" fontId="10" fillId="3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left" vertical="center"/>
    </xf>
    <xf numFmtId="165" fontId="12" fillId="4" borderId="1" applyAlignment="1" pivotButton="0" quotePrefix="0" xfId="0">
      <alignment horizontal="right" vertical="center"/>
    </xf>
    <xf numFmtId="0" fontId="13" fillId="0" borderId="1" applyAlignment="1" pivotButton="0" quotePrefix="0" xfId="0">
      <alignment horizontal="left" vertical="center"/>
    </xf>
    <xf numFmtId="165" fontId="14" fillId="0" borderId="1" applyAlignment="1" pivotButton="0" quotePrefix="0" xfId="0">
      <alignment horizontal="right" vertical="center"/>
    </xf>
    <xf numFmtId="164" fontId="15" fillId="0" borderId="1" applyAlignment="1" pivotButton="0" quotePrefix="0" xfId="0">
      <alignment horizontal="right" vertical="center"/>
    </xf>
    <xf numFmtId="0" fontId="15" fillId="0" borderId="1" applyAlignment="1" pivotButton="0" quotePrefix="0" xfId="0">
      <alignment horizontal="center" vertical="center"/>
    </xf>
    <xf numFmtId="0" fontId="16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164" fontId="13" fillId="5" borderId="1" applyAlignment="1" pivotButton="0" quotePrefix="0" xfId="0">
      <alignment horizontal="right" vertical="center"/>
    </xf>
    <xf numFmtId="0" fontId="17" fillId="6" borderId="1" applyAlignment="1" pivotButton="0" quotePrefix="0" xfId="0">
      <alignment horizontal="left" vertical="center"/>
    </xf>
    <xf numFmtId="164" fontId="17" fillId="6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  <xf numFmtId="0" fontId="18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Forecast vs actual net cash flow (€000)</a:t>
            </a:r>
          </a:p>
        </rich>
      </tx>
    </title>
    <plotArea>
      <lineChart>
        <grouping val="standard"/>
        <ser>
          <idx val="0"/>
          <order val="0"/>
          <tx>
            <strRef>
              <f>'Forecast Accuracy'!B8</f>
            </strRef>
          </tx>
          <spPr>
            <a:ln xmlns:a="http://schemas.openxmlformats.org/drawingml/2006/main" w="16000">
              <a:solidFill>
                <a:srgbClr val="9AA7B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'Forecast Accuracy'!$C$7:$J$7</f>
            </numRef>
          </cat>
          <val>
            <numRef>
              <f>'Forecast Accuracy'!$C$8:$J$8</f>
            </numRef>
          </val>
        </ser>
        <ser>
          <idx val="1"/>
          <order val="1"/>
          <tx>
            <strRef>
              <f>'Forecast Accuracy'!B9</f>
            </strRef>
          </tx>
          <spPr>
            <a:ln xmlns:a="http://schemas.openxmlformats.org/drawingml/2006/main" w="28000">
              <a:solidFill>
                <a:srgbClr val="17B89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'Forecast Accuracy'!$C$7:$J$7</f>
            </numRef>
          </cat>
          <val>
            <numRef>
              <f>'Forecast Accuracy'!$C$9:$J$9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14</row>
      <rowOff>0</rowOff>
    </from>
    <ext cx="576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4" customWidth="1" min="2" max="2"/>
    <col width="60" customWidth="1" min="3" max="3"/>
    <col width="2" customWidth="1" min="4" max="4"/>
  </cols>
  <sheetData>
    <row r="2" ht="30" customHeight="1">
      <c r="B2" s="1" t="inlineStr">
        <is>
          <t>HELIOS CONSUMER GmbH  ·  Sample Model</t>
        </is>
      </c>
    </row>
    <row r="3" ht="16" customHeight="1">
      <c r="B3" s="2" t="inlineStr">
        <is>
          <t>Illustrative portfolio project. Prepared by Prajit Jawahar</t>
        </is>
      </c>
    </row>
    <row r="5" ht="30" customHeight="1">
      <c r="B5" s="3" t="inlineStr">
        <is>
          <t>Model</t>
        </is>
      </c>
      <c r="C5" s="4" t="inlineStr">
        <is>
          <t>26: Cash Flow Forecast Accuracy &amp; Variance Tracker</t>
        </is>
      </c>
    </row>
    <row r="6" ht="60" customHeight="1">
      <c r="B6" s="3" t="inlineStr">
        <is>
          <t>Purpose</t>
        </is>
      </c>
      <c r="C6" s="4" t="inlineStr">
        <is>
          <t>The discipline behind owning a rolling forecast: track weekly forecast vs actual cash flow, measure the variance and forecast accuracy (MAPE and hit-rate), and carry cumulative variance so the next reforecast is sharper.</t>
        </is>
      </c>
    </row>
    <row r="7" ht="45" customHeight="1">
      <c r="B7" s="3" t="inlineStr">
        <is>
          <t>Techniques shown</t>
        </is>
      </c>
      <c r="C7" s="4" t="inlineStr">
        <is>
          <t>Weekly forecast vs actual · variance € and % · MAPE / forecast accuracy · hit-rate within tolerance · cumulative variance · forecast-vs-actual chart.</t>
        </is>
      </c>
    </row>
    <row r="8" ht="45" customHeight="1">
      <c r="B8" s="3" t="inlineStr">
        <is>
          <t>How to use</t>
        </is>
      </c>
      <c r="C8" s="4" t="inlineStr">
        <is>
          <t>Enter the blue weekly forecast and actual figures; variance, accuracy and the running gap update. Roll forward each week by adding the new actual.</t>
        </is>
      </c>
    </row>
    <row r="9" ht="30" customHeight="1">
      <c r="B9" s="3" t="inlineStr">
        <is>
          <t>Currency / units</t>
        </is>
      </c>
      <c r="C9" s="4" t="inlineStr">
        <is>
          <t>See each sheet header for units.</t>
        </is>
      </c>
    </row>
    <row r="10" ht="30" customHeight="1">
      <c r="B10" s="3" t="inlineStr">
        <is>
          <t>Data</t>
        </is>
      </c>
      <c r="C10" s="4" t="inlineStr">
        <is>
          <t>Sample / illustrative figures for a fictional company. Not real financials.</t>
        </is>
      </c>
    </row>
    <row r="12">
      <c r="B12" s="5" t="inlineStr">
        <is>
          <t xml:space="preserve">  Blue text</t>
        </is>
      </c>
      <c r="C12" s="6" t="inlineStr">
        <is>
          <t>Hard-coded input / assumption you can change</t>
        </is>
      </c>
    </row>
    <row r="13">
      <c r="B13" s="7" t="inlineStr">
        <is>
          <t xml:space="preserve">  Black text</t>
        </is>
      </c>
      <c r="C13" s="6" t="inlineStr">
        <is>
          <t>Formula, recalculates automatically</t>
        </is>
      </c>
    </row>
    <row r="14">
      <c r="B14" s="8" t="inlineStr">
        <is>
          <t xml:space="preserve">  Green text</t>
        </is>
      </c>
      <c r="C14" s="6" t="inlineStr">
        <is>
          <t>Links to another sheet</t>
        </is>
      </c>
    </row>
    <row r="15">
      <c r="B15" s="9" t="inlineStr">
        <is>
          <t xml:space="preserve">  Yellow fill</t>
        </is>
      </c>
      <c r="C15" s="6" t="inlineStr">
        <is>
          <t>Cells intended for you to fill in</t>
        </is>
      </c>
    </row>
  </sheetData>
  <mergeCells count="2">
    <mergeCell ref="B2:C2"/>
    <mergeCell ref="B3:C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J23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</cols>
  <sheetData>
    <row r="2" ht="30" customHeight="1">
      <c r="B2" s="1" t="inlineStr">
        <is>
          <t>Weekly Cash Flow — Forecast Accuracy &amp; Variance (€000)</t>
        </is>
      </c>
    </row>
    <row r="3" ht="16" customHeight="1">
      <c r="B3" s="2" t="inlineStr">
        <is>
          <t>Blue = input (forecast &amp; actual). Tolerance band is an input.</t>
        </is>
      </c>
    </row>
    <row r="5">
      <c r="B5" s="10" t="inlineStr">
        <is>
          <t>Accuracy tolerance (± band on weekly variance)</t>
        </is>
      </c>
      <c r="C5" s="11" t="n">
        <v>0.05</v>
      </c>
    </row>
    <row r="7">
      <c r="B7" s="12" t="inlineStr">
        <is>
          <t>€000</t>
        </is>
      </c>
      <c r="C7" s="13" t="inlineStr">
        <is>
          <t>W1</t>
        </is>
      </c>
      <c r="D7" s="13" t="inlineStr">
        <is>
          <t>W2</t>
        </is>
      </c>
      <c r="E7" s="13" t="inlineStr">
        <is>
          <t>W3</t>
        </is>
      </c>
      <c r="F7" s="13" t="inlineStr">
        <is>
          <t>W4</t>
        </is>
      </c>
      <c r="G7" s="13" t="inlineStr">
        <is>
          <t>W5</t>
        </is>
      </c>
      <c r="H7" s="13" t="inlineStr">
        <is>
          <t>W6</t>
        </is>
      </c>
      <c r="I7" s="13" t="inlineStr">
        <is>
          <t>W7</t>
        </is>
      </c>
      <c r="J7" s="13" t="inlineStr">
        <is>
          <t>W8</t>
        </is>
      </c>
    </row>
    <row r="8">
      <c r="B8" s="14" t="inlineStr">
        <is>
          <t>Forecast net cash flow</t>
        </is>
      </c>
      <c r="C8" s="15" t="n">
        <v>320</v>
      </c>
      <c r="D8" s="15" t="n">
        <v>280</v>
      </c>
      <c r="E8" s="15" t="n">
        <v>410</v>
      </c>
      <c r="F8" s="15" t="n">
        <v>350</v>
      </c>
      <c r="G8" s="15" t="n">
        <v>300</v>
      </c>
      <c r="H8" s="15" t="n">
        <v>380</v>
      </c>
      <c r="I8" s="15" t="n">
        <v>340</v>
      </c>
      <c r="J8" s="15" t="n">
        <v>360</v>
      </c>
    </row>
    <row r="9">
      <c r="B9" s="14" t="inlineStr">
        <is>
          <t>Actual net cash flow</t>
        </is>
      </c>
      <c r="C9" s="15" t="n">
        <v>338</v>
      </c>
      <c r="D9" s="15" t="n">
        <v>266</v>
      </c>
      <c r="E9" s="15" t="n">
        <v>398</v>
      </c>
      <c r="F9" s="15" t="n">
        <v>372</v>
      </c>
      <c r="G9" s="15" t="n">
        <v>286</v>
      </c>
      <c r="H9" s="15" t="n">
        <v>392</v>
      </c>
      <c r="I9" s="15" t="n">
        <v>352</v>
      </c>
      <c r="J9" s="15" t="n">
        <v>349</v>
      </c>
    </row>
    <row r="10">
      <c r="B10" s="16" t="inlineStr">
        <is>
          <t>Variance (€000)</t>
        </is>
      </c>
      <c r="C10" s="17">
        <f>C9-C8</f>
        <v/>
      </c>
      <c r="D10" s="17">
        <f>D9-D8</f>
        <v/>
      </c>
      <c r="E10" s="17">
        <f>E9-E8</f>
        <v/>
      </c>
      <c r="F10" s="17">
        <f>F9-F8</f>
        <v/>
      </c>
      <c r="G10" s="17">
        <f>G9-G8</f>
        <v/>
      </c>
      <c r="H10" s="17">
        <f>H9-H8</f>
        <v/>
      </c>
      <c r="I10" s="17">
        <f>I9-I8</f>
        <v/>
      </c>
      <c r="J10" s="17">
        <f>J9-J8</f>
        <v/>
      </c>
    </row>
    <row r="11">
      <c r="B11" s="10" t="inlineStr">
        <is>
          <t>Variance %</t>
        </is>
      </c>
      <c r="C11" s="18">
        <f>IF(C8=0,"n/a",C10/ABS(C8))</f>
        <v/>
      </c>
      <c r="D11" s="18">
        <f>IF(D8=0,"n/a",D10/ABS(D8))</f>
        <v/>
      </c>
      <c r="E11" s="18">
        <f>IF(E8=0,"n/a",E10/ABS(E8))</f>
        <v/>
      </c>
      <c r="F11" s="18">
        <f>IF(F8=0,"n/a",F10/ABS(F8))</f>
        <v/>
      </c>
      <c r="G11" s="18">
        <f>IF(G8=0,"n/a",G10/ABS(G8))</f>
        <v/>
      </c>
      <c r="H11" s="18">
        <f>IF(H8=0,"n/a",H10/ABS(H8))</f>
        <v/>
      </c>
      <c r="I11" s="18">
        <f>IF(I8=0,"n/a",I10/ABS(I8))</f>
        <v/>
      </c>
      <c r="J11" s="18">
        <f>IF(J8=0,"n/a",J10/ABS(J8))</f>
        <v/>
      </c>
    </row>
    <row r="12">
      <c r="B12" s="10" t="inlineStr">
        <is>
          <t>Abs variance %</t>
        </is>
      </c>
      <c r="C12" s="18">
        <f>ABS(C11)</f>
        <v/>
      </c>
      <c r="D12" s="18">
        <f>ABS(D11)</f>
        <v/>
      </c>
      <c r="E12" s="18">
        <f>ABS(E11)</f>
        <v/>
      </c>
      <c r="F12" s="18">
        <f>ABS(F11)</f>
        <v/>
      </c>
      <c r="G12" s="18">
        <f>ABS(G11)</f>
        <v/>
      </c>
      <c r="H12" s="18">
        <f>ABS(H11)</f>
        <v/>
      </c>
      <c r="I12" s="18">
        <f>ABS(I11)</f>
        <v/>
      </c>
      <c r="J12" s="18">
        <f>ABS(J11)</f>
        <v/>
      </c>
    </row>
    <row r="13">
      <c r="B13" s="10" t="inlineStr">
        <is>
          <t>Within tolerance?</t>
        </is>
      </c>
      <c r="C13" s="19">
        <f>IF(C12&lt;=$C$5,"Yes","No")</f>
        <v/>
      </c>
      <c r="D13" s="19">
        <f>IF(D12&lt;=$C$5,"Yes","No")</f>
        <v/>
      </c>
      <c r="E13" s="19">
        <f>IF(E12&lt;=$C$5,"Yes","No")</f>
        <v/>
      </c>
      <c r="F13" s="19">
        <f>IF(F12&lt;=$C$5,"Yes","No")</f>
        <v/>
      </c>
      <c r="G13" s="19">
        <f>IF(G12&lt;=$C$5,"Yes","No")</f>
        <v/>
      </c>
      <c r="H13" s="19">
        <f>IF(H12&lt;=$C$5,"Yes","No")</f>
        <v/>
      </c>
      <c r="I13" s="19">
        <f>IF(I12&lt;=$C$5,"Yes","No")</f>
        <v/>
      </c>
      <c r="J13" s="19">
        <f>IF(J12&lt;=$C$5,"Yes","No")</f>
        <v/>
      </c>
    </row>
    <row r="14">
      <c r="B14" s="16" t="inlineStr">
        <is>
          <t>Cumulative variance</t>
        </is>
      </c>
      <c r="C14" s="17">
        <f>C10</f>
        <v/>
      </c>
      <c r="D14" s="17">
        <f>C14+D10</f>
        <v/>
      </c>
      <c r="E14" s="17">
        <f>D14+E10</f>
        <v/>
      </c>
      <c r="F14" s="17">
        <f>E14+F10</f>
        <v/>
      </c>
      <c r="G14" s="17">
        <f>F14+G10</f>
        <v/>
      </c>
      <c r="H14" s="17">
        <f>G14+H10</f>
        <v/>
      </c>
      <c r="I14" s="17">
        <f>H14+I10</f>
        <v/>
      </c>
      <c r="J14" s="17">
        <f>I14+J10</f>
        <v/>
      </c>
    </row>
    <row r="16" ht="20" customHeight="1">
      <c r="B16" s="20" t="inlineStr">
        <is>
          <t>Forecast quality KPIs</t>
        </is>
      </c>
    </row>
    <row r="17">
      <c r="B17" s="21" t="inlineStr">
        <is>
          <t>MAPE (mean abs % error)</t>
        </is>
      </c>
      <c r="C17" s="22">
        <f>AVERAGE(C12:J12)</f>
        <v/>
      </c>
    </row>
    <row r="18">
      <c r="B18" s="23" t="inlineStr">
        <is>
          <t>Forecast accuracy (1 - MAPE)</t>
        </is>
      </c>
      <c r="C18" s="24">
        <f>1-C17</f>
        <v/>
      </c>
    </row>
    <row r="19">
      <c r="B19" s="21" t="inlineStr">
        <is>
          <t>Hit-rate (weeks within tolerance)</t>
        </is>
      </c>
      <c r="C19" s="22">
        <f>COUNTIF(C13:J13,"Yes")/8</f>
        <v/>
      </c>
    </row>
    <row r="20">
      <c r="B20" s="10" t="inlineStr">
        <is>
          <t>Net bias (cumulative variance, €000)</t>
        </is>
      </c>
      <c r="C20" s="25">
        <f>J14</f>
        <v/>
      </c>
    </row>
    <row r="22" ht="20" customHeight="1">
      <c r="B22" s="20" t="inlineStr">
        <is>
          <t>Key insight (auto-generated)</t>
        </is>
      </c>
    </row>
    <row r="23" ht="42" customHeight="1">
      <c r="B23" s="26">
        <f>"Forecast accuracy runs at "&amp;TEXT(C18,"0.0%")&amp;" (MAPE "&amp;TEXT(C17,"0.0%")&amp;"), with "&amp;TEXT(C19,"0%")&amp;" of weeks inside the tolerance band. A "&amp;IF(C20&gt;=0,"positive","negative")&amp;" cumulative bias of €"&amp;TEXT(C20,"#,##0")&amp;"k signals where to tighten the next reforecast."</f>
        <v/>
      </c>
    </row>
  </sheetData>
  <mergeCells count="5">
    <mergeCell ref="B2:J2"/>
    <mergeCell ref="B3:J3"/>
    <mergeCell ref="B16:D16"/>
    <mergeCell ref="B22:J22"/>
    <mergeCell ref="B23:J23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2026-09-15T22:19:09Z</dcterms:created>
  <dcterms:modified xmlns:dcterms="http://purl.org/dc/terms/" xmlns:xsi="http://www.w3.org/2001/XMLSchema-instance" xsi:type="dcterms:W3CDTF">2026-09-15T22:19:09Z</dcterms:modified>
</cp:coreProperties>
</file>