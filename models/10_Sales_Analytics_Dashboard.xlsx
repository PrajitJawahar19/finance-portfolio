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(#,##0);&quot;-&quot;"/>
    <numFmt numFmtId="165" formatCode="#,##0.0;(#,##0.0);&quot;-&quot;"/>
    <numFmt numFmtId="166" formatCode="€ #,##0"/>
    <numFmt numFmtId="167" formatCode="0.0%;(0.0%);&quot;-&quot;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9"/>
    </font>
    <font>
      <name val="Arial"/>
      <b val="1"/>
      <color rgb="001F3A5F"/>
      <sz val="10"/>
    </font>
    <font>
      <name val="Arial"/>
      <color rgb="00222222"/>
      <sz val="10"/>
    </font>
    <font>
      <name val="Arial"/>
      <b val="1"/>
      <color rgb="000000FF"/>
      <sz val="9"/>
    </font>
    <font>
      <name val="Arial"/>
      <color rgb="00444444"/>
      <sz val="9"/>
    </font>
    <font>
      <name val="Arial"/>
      <b val="1"/>
      <color rgb="00000000"/>
      <sz val="9"/>
    </font>
    <font>
      <name val="Arial"/>
      <b val="1"/>
      <color rgb="00008000"/>
      <sz val="9"/>
    </font>
    <font>
      <name val="Arial"/>
      <b val="1"/>
      <color rgb="001F3A5F"/>
      <sz val="11"/>
    </font>
    <font>
      <name val="Arial"/>
      <b val="1"/>
      <color rgb="00FFFFFF"/>
      <sz val="9"/>
    </font>
    <font>
      <name val="Arial"/>
      <color rgb="000000FF"/>
      <sz val="9.5"/>
    </font>
    <font>
      <name val="Arial"/>
      <color rgb="00000000"/>
      <sz val="10"/>
    </font>
    <font>
      <name val="Arial"/>
      <color rgb="00000000"/>
      <sz val="9.5"/>
    </font>
    <font>
      <name val="Arial"/>
      <color rgb="00333333"/>
      <sz val="9.5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2E5A88"/>
      </patternFill>
    </fill>
    <fill>
      <patternFill patternType="solid">
        <fgColor rgb="00FFF2CC"/>
      </patternFill>
    </fill>
    <fill>
      <patternFill patternType="solid">
        <fgColor rgb="00EAF0F6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3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center"/>
    </xf>
    <xf numFmtId="0" fontId="10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164" fontId="11" fillId="4" borderId="1" applyAlignment="1" pivotButton="0" quotePrefix="0" xfId="0">
      <alignment horizontal="right" vertical="center"/>
    </xf>
    <xf numFmtId="0" fontId="13" fillId="0" borderId="1" applyAlignment="1" pivotButton="0" quotePrefix="0" xfId="0">
      <alignment horizontal="left" vertical="center"/>
    </xf>
    <xf numFmtId="164" fontId="13" fillId="0" borderId="1" applyAlignment="1" pivotButton="0" quotePrefix="0" xfId="0">
      <alignment horizontal="right" vertical="center"/>
    </xf>
    <xf numFmtId="0" fontId="12" fillId="0" borderId="1" applyAlignment="1" pivotButton="0" quotePrefix="0" xfId="0">
      <alignment horizontal="left" vertical="center"/>
    </xf>
    <xf numFmtId="164" fontId="9" fillId="5" borderId="1" applyAlignment="1" pivotButton="0" quotePrefix="0" xfId="0">
      <alignment horizontal="right" vertical="center"/>
    </xf>
    <xf numFmtId="1" fontId="9" fillId="5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166" fontId="9" fillId="5" borderId="1" applyAlignment="1" pivotButton="0" quotePrefix="0" xfId="0">
      <alignment horizontal="right" vertical="center"/>
    </xf>
    <xf numFmtId="164" fontId="12" fillId="0" borderId="1" applyAlignment="1" pivotButton="0" quotePrefix="0" xfId="0">
      <alignment horizontal="right" vertical="center"/>
    </xf>
    <xf numFmtId="167" fontId="12" fillId="0" borderId="1" applyAlignment="1" pivotButton="0" quotePrefix="0" xfId="0">
      <alignment horizontal="right" vertical="center"/>
    </xf>
    <xf numFmtId="0" fontId="1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 (€000)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2E5A88"/>
            </a:solidFill>
            <a:ln xmlns:a="http://schemas.openxmlformats.org/drawingml/2006/main">
              <a:prstDash val="solid"/>
            </a:ln>
          </spPr>
          <cat>
            <numRef>
              <f>'Dashboard'!$B$35:$B$37</f>
            </numRef>
          </cat>
          <val>
            <numRef>
              <f>'Dashboard'!$C$35:$C$37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Product mix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'Dashboard'!$B$41:$B$43</f>
            </numRef>
          </cat>
          <val>
            <numRef>
              <f>'Dashboard'!$C$41:$C$43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 (€000)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'Dashboard'!I6</f>
            </strRef>
          </tx>
          <spPr>
            <a:ln xmlns:a="http://schemas.openxmlformats.org/drawingml/2006/main" w="26000">
              <a:solidFill>
                <a:srgbClr val="17B89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'Dashboard'!$H$7:$H$18</f>
            </numRef>
          </cat>
          <val>
            <numRef>
              <f>'Dashboard'!$I$7:$I$18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7</col>
      <colOff>0</colOff>
      <row>15</row>
      <rowOff>0</rowOff>
    </from>
    <ext cx="288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29</row>
      <rowOff>0</rowOff>
    </from>
    <ext cx="288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45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60" customWidth="1" min="3" max="3"/>
    <col width="2" customWidth="1" min="4" max="4"/>
  </cols>
  <sheetData>
    <row r="2" ht="30" customHeight="1">
      <c r="B2" s="1" t="inlineStr">
        <is>
          <t>HELIOS CONSUMER GmbH  ·  Sample Model</t>
        </is>
      </c>
    </row>
    <row r="3" ht="16" customHeight="1">
      <c r="B3" s="2" t="inlineStr">
        <is>
          <t>Illustrative portfolio project. Prepared by Prajit Jawahar</t>
        </is>
      </c>
    </row>
    <row r="5" ht="30" customHeight="1">
      <c r="B5" s="3" t="inlineStr">
        <is>
          <t>Model</t>
        </is>
      </c>
      <c r="C5" s="4" t="inlineStr">
        <is>
          <t>10: Sales Analytics Dashboard</t>
        </is>
      </c>
    </row>
    <row r="6" ht="45" customHeight="1">
      <c r="B6" s="3" t="inlineStr">
        <is>
          <t>Purpose</t>
        </is>
      </c>
      <c r="C6" s="4" t="inlineStr">
        <is>
          <t>Turn a raw transaction log into decision-ready analytics: revenue by region and product built with SUMIFS, headline KPIs, and monthly trend, the way a BI analyst would prepare it.</t>
        </is>
      </c>
    </row>
    <row r="7" ht="45" customHeight="1">
      <c r="B7" s="3" t="inlineStr">
        <is>
          <t>Techniques shown</t>
        </is>
      </c>
      <c r="C7" s="4" t="inlineStr">
        <is>
          <t>SUMIFS aggregation from raw data · KPI cards · revenue by region &amp; product · monthly trend · product mix · average order value.</t>
        </is>
      </c>
    </row>
    <row r="8" ht="30" customHeight="1">
      <c r="B8" s="3" t="inlineStr">
        <is>
          <t>How to use</t>
        </is>
      </c>
      <c r="C8" s="4" t="inlineStr">
        <is>
          <t>Add or edit rows in the blue 'Transactions' block; the SUMIFS summaries, KPIs and charts recompute automatically.</t>
        </is>
      </c>
    </row>
    <row r="9" ht="30" customHeight="1">
      <c r="B9" s="3" t="inlineStr">
        <is>
          <t>Currency / units</t>
        </is>
      </c>
      <c r="C9" s="4" t="inlineStr">
        <is>
          <t>See each sheet header for units.</t>
        </is>
      </c>
    </row>
    <row r="10" ht="30" customHeight="1">
      <c r="B10" s="3" t="inlineStr">
        <is>
          <t>Data</t>
        </is>
      </c>
      <c r="C10" s="4" t="inlineStr">
        <is>
          <t>Sample / illustrative figures for a fictional company. Not real financials.</t>
        </is>
      </c>
    </row>
    <row r="12">
      <c r="B12" s="5" t="inlineStr">
        <is>
          <t>Colour key</t>
        </is>
      </c>
    </row>
    <row r="13">
      <c r="B13" s="6" t="inlineStr">
        <is>
          <t xml:space="preserve">  Blue text</t>
        </is>
      </c>
      <c r="C13" s="7" t="inlineStr">
        <is>
          <t>Hard-coded input / assumption you can change</t>
        </is>
      </c>
    </row>
    <row r="14">
      <c r="B14" s="8" t="inlineStr">
        <is>
          <t xml:space="preserve">  Black text</t>
        </is>
      </c>
      <c r="C14" s="7" t="inlineStr">
        <is>
          <t>Formula, recalculates automatically</t>
        </is>
      </c>
    </row>
    <row r="15">
      <c r="B15" s="9" t="inlineStr">
        <is>
          <t xml:space="preserve">  Green text</t>
        </is>
      </c>
      <c r="C15" s="7" t="inlineStr">
        <is>
          <t>Links to another sheet</t>
        </is>
      </c>
    </row>
    <row r="16">
      <c r="B16" s="10" t="inlineStr">
        <is>
          <t xml:space="preserve">  Yellow fill</t>
        </is>
      </c>
      <c r="C16" s="7" t="inlineStr">
        <is>
          <t>Cells intended for you to fill in</t>
        </is>
      </c>
    </row>
  </sheetData>
  <mergeCells count="2">
    <mergeCell ref="B2:C2"/>
    <mergeCell ref="B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6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2" customWidth="1" min="7" max="7"/>
    <col width="16" customWidth="1" min="8" max="8"/>
    <col width="13" customWidth="1" min="9" max="9"/>
    <col width="2" customWidth="1" min="10" max="10"/>
  </cols>
  <sheetData>
    <row r="2" ht="30" customHeight="1">
      <c r="B2" s="1" t="inlineStr">
        <is>
          <t>Sales Analytics — FY2025</t>
        </is>
      </c>
    </row>
    <row r="3" ht="16" customHeight="1">
      <c r="B3" s="2" t="inlineStr">
        <is>
          <t>Revenue in €000. Blue = raw input data.</t>
        </is>
      </c>
    </row>
    <row r="5" ht="20" customHeight="1">
      <c r="B5" s="11" t="inlineStr">
        <is>
          <t>Transactions (source data)</t>
        </is>
      </c>
    </row>
    <row r="6" ht="26" customHeight="1">
      <c r="B6" s="12" t="inlineStr">
        <is>
          <t>Month</t>
        </is>
      </c>
      <c r="C6" s="13" t="inlineStr">
        <is>
          <t>Region</t>
        </is>
      </c>
      <c r="D6" s="13" t="inlineStr">
        <is>
          <t>Product</t>
        </is>
      </c>
      <c r="E6" s="13" t="inlineStr">
        <is>
          <t>Units</t>
        </is>
      </c>
      <c r="F6" s="13" t="inlineStr">
        <is>
          <t>Revenue (€000)</t>
        </is>
      </c>
      <c r="H6" s="14" t="inlineStr">
        <is>
          <t>Month</t>
        </is>
      </c>
      <c r="I6" s="15" t="inlineStr">
        <is>
          <t>Revenue</t>
        </is>
      </c>
    </row>
    <row r="7">
      <c r="B7" s="16" t="inlineStr">
        <is>
          <t>Jan</t>
        </is>
      </c>
      <c r="C7" s="16" t="inlineStr">
        <is>
          <t>DACH</t>
        </is>
      </c>
      <c r="D7" s="16" t="inlineStr">
        <is>
          <t>Alpha</t>
        </is>
      </c>
      <c r="E7" s="17" t="n">
        <v>1200</v>
      </c>
      <c r="F7" s="17" t="n">
        <v>540</v>
      </c>
      <c r="H7" s="18" t="inlineStr">
        <is>
          <t>Jan</t>
        </is>
      </c>
      <c r="I7" s="19">
        <f>SUMIFS($F$7:$F$24,$B$7:$B$24,H7)</f>
        <v/>
      </c>
    </row>
    <row r="8">
      <c r="B8" s="16" t="inlineStr">
        <is>
          <t>Jan</t>
        </is>
      </c>
      <c r="C8" s="16" t="inlineStr">
        <is>
          <t>Nordics</t>
        </is>
      </c>
      <c r="D8" s="16" t="inlineStr">
        <is>
          <t>Beta</t>
        </is>
      </c>
      <c r="E8" s="17" t="n">
        <v>800</v>
      </c>
      <c r="F8" s="17" t="n">
        <v>300</v>
      </c>
      <c r="H8" s="18" t="inlineStr">
        <is>
          <t>Feb</t>
        </is>
      </c>
      <c r="I8" s="19">
        <f>SUMIFS($F$7:$F$24,$B$7:$B$24,H8)</f>
        <v/>
      </c>
    </row>
    <row r="9">
      <c r="B9" s="16" t="inlineStr">
        <is>
          <t>Feb</t>
        </is>
      </c>
      <c r="C9" s="16" t="inlineStr">
        <is>
          <t>DACH</t>
        </is>
      </c>
      <c r="D9" s="16" t="inlineStr">
        <is>
          <t>Gamma</t>
        </is>
      </c>
      <c r="E9" s="17" t="n">
        <v>600</v>
      </c>
      <c r="F9" s="17" t="n">
        <v>270</v>
      </c>
      <c r="H9" s="18" t="inlineStr">
        <is>
          <t>Mar</t>
        </is>
      </c>
      <c r="I9" s="19">
        <f>SUMIFS($F$7:$F$24,$B$7:$B$24,H9)</f>
        <v/>
      </c>
    </row>
    <row r="10">
      <c r="B10" s="16" t="inlineStr">
        <is>
          <t>Feb</t>
        </is>
      </c>
      <c r="C10" s="16" t="inlineStr">
        <is>
          <t>Benelux</t>
        </is>
      </c>
      <c r="D10" s="16" t="inlineStr">
        <is>
          <t>Alpha</t>
        </is>
      </c>
      <c r="E10" s="17" t="n">
        <v>950</v>
      </c>
      <c r="F10" s="17" t="n">
        <v>428</v>
      </c>
      <c r="H10" s="18" t="inlineStr">
        <is>
          <t>Apr</t>
        </is>
      </c>
      <c r="I10" s="19">
        <f>SUMIFS($F$7:$F$24,$B$7:$B$24,H10)</f>
        <v/>
      </c>
    </row>
    <row r="11">
      <c r="B11" s="16" t="inlineStr">
        <is>
          <t>Mar</t>
        </is>
      </c>
      <c r="C11" s="16" t="inlineStr">
        <is>
          <t>Nordics</t>
        </is>
      </c>
      <c r="D11" s="16" t="inlineStr">
        <is>
          <t>Alpha</t>
        </is>
      </c>
      <c r="E11" s="17" t="n">
        <v>1100</v>
      </c>
      <c r="F11" s="17" t="n">
        <v>495</v>
      </c>
      <c r="H11" s="18" t="inlineStr">
        <is>
          <t>May</t>
        </is>
      </c>
      <c r="I11" s="19">
        <f>SUMIFS($F$7:$F$24,$B$7:$B$24,H11)</f>
        <v/>
      </c>
    </row>
    <row r="12">
      <c r="B12" s="16" t="inlineStr">
        <is>
          <t>Mar</t>
        </is>
      </c>
      <c r="C12" s="16" t="inlineStr">
        <is>
          <t>DACH</t>
        </is>
      </c>
      <c r="D12" s="16" t="inlineStr">
        <is>
          <t>Beta</t>
        </is>
      </c>
      <c r="E12" s="17" t="n">
        <v>700</v>
      </c>
      <c r="F12" s="17" t="n">
        <v>263</v>
      </c>
      <c r="H12" s="18" t="inlineStr">
        <is>
          <t>Jun</t>
        </is>
      </c>
      <c r="I12" s="19">
        <f>SUMIFS($F$7:$F$24,$B$7:$B$24,H12)</f>
        <v/>
      </c>
    </row>
    <row r="13">
      <c r="B13" s="16" t="inlineStr">
        <is>
          <t>Apr</t>
        </is>
      </c>
      <c r="C13" s="16" t="inlineStr">
        <is>
          <t>Benelux</t>
        </is>
      </c>
      <c r="D13" s="16" t="inlineStr">
        <is>
          <t>Gamma</t>
        </is>
      </c>
      <c r="E13" s="17" t="n">
        <v>520</v>
      </c>
      <c r="F13" s="17" t="n">
        <v>234</v>
      </c>
      <c r="H13" s="18" t="inlineStr">
        <is>
          <t>Jul</t>
        </is>
      </c>
      <c r="I13" s="19">
        <f>SUMIFS($F$7:$F$24,$B$7:$B$24,H13)</f>
        <v/>
      </c>
    </row>
    <row r="14">
      <c r="B14" s="16" t="inlineStr">
        <is>
          <t>Apr</t>
        </is>
      </c>
      <c r="C14" s="16" t="inlineStr">
        <is>
          <t>DACH</t>
        </is>
      </c>
      <c r="D14" s="16" t="inlineStr">
        <is>
          <t>Alpha</t>
        </is>
      </c>
      <c r="E14" s="17" t="n">
        <v>1350</v>
      </c>
      <c r="F14" s="17" t="n">
        <v>608</v>
      </c>
      <c r="H14" s="18" t="inlineStr">
        <is>
          <t>Aug</t>
        </is>
      </c>
      <c r="I14" s="19">
        <f>SUMIFS($F$7:$F$24,$B$7:$B$24,H14)</f>
        <v/>
      </c>
    </row>
    <row r="15">
      <c r="B15" s="16" t="inlineStr">
        <is>
          <t>May</t>
        </is>
      </c>
      <c r="C15" s="16" t="inlineStr">
        <is>
          <t>Nordics</t>
        </is>
      </c>
      <c r="D15" s="16" t="inlineStr">
        <is>
          <t>Beta</t>
        </is>
      </c>
      <c r="E15" s="17" t="n">
        <v>880</v>
      </c>
      <c r="F15" s="17" t="n">
        <v>330</v>
      </c>
      <c r="H15" s="18" t="inlineStr">
        <is>
          <t>Sep</t>
        </is>
      </c>
      <c r="I15" s="19">
        <f>SUMIFS($F$7:$F$24,$B$7:$B$24,H15)</f>
        <v/>
      </c>
    </row>
    <row r="16">
      <c r="B16" s="16" t="inlineStr">
        <is>
          <t>Jun</t>
        </is>
      </c>
      <c r="C16" s="16" t="inlineStr">
        <is>
          <t>DACH</t>
        </is>
      </c>
      <c r="D16" s="16" t="inlineStr">
        <is>
          <t>Gamma</t>
        </is>
      </c>
      <c r="E16" s="17" t="n">
        <v>640</v>
      </c>
      <c r="F16" s="17" t="n">
        <v>288</v>
      </c>
      <c r="H16" s="18" t="inlineStr">
        <is>
          <t>Oct</t>
        </is>
      </c>
      <c r="I16" s="19">
        <f>SUMIFS($F$7:$F$24,$B$7:$B$24,H16)</f>
        <v/>
      </c>
    </row>
    <row r="17">
      <c r="B17" s="16" t="inlineStr">
        <is>
          <t>Jun</t>
        </is>
      </c>
      <c r="C17" s="16" t="inlineStr">
        <is>
          <t>Benelux</t>
        </is>
      </c>
      <c r="D17" s="16" t="inlineStr">
        <is>
          <t>Beta</t>
        </is>
      </c>
      <c r="E17" s="17" t="n">
        <v>760</v>
      </c>
      <c r="F17" s="17" t="n">
        <v>285</v>
      </c>
      <c r="H17" s="18" t="inlineStr">
        <is>
          <t>Nov</t>
        </is>
      </c>
      <c r="I17" s="19">
        <f>SUMIFS($F$7:$F$24,$B$7:$B$24,H17)</f>
        <v/>
      </c>
    </row>
    <row r="18">
      <c r="B18" s="16" t="inlineStr">
        <is>
          <t>Jul</t>
        </is>
      </c>
      <c r="C18" s="16" t="inlineStr">
        <is>
          <t>Nordics</t>
        </is>
      </c>
      <c r="D18" s="16" t="inlineStr">
        <is>
          <t>Alpha</t>
        </is>
      </c>
      <c r="E18" s="17" t="n">
        <v>1180</v>
      </c>
      <c r="F18" s="17" t="n">
        <v>531</v>
      </c>
      <c r="H18" s="18" t="inlineStr">
        <is>
          <t>Dec</t>
        </is>
      </c>
      <c r="I18" s="19">
        <f>SUMIFS($F$7:$F$24,$B$7:$B$24,H18)</f>
        <v/>
      </c>
    </row>
    <row r="19">
      <c r="B19" s="16" t="inlineStr">
        <is>
          <t>Aug</t>
        </is>
      </c>
      <c r="C19" s="16" t="inlineStr">
        <is>
          <t>DACH</t>
        </is>
      </c>
      <c r="D19" s="16" t="inlineStr">
        <is>
          <t>Alpha</t>
        </is>
      </c>
      <c r="E19" s="17" t="n">
        <v>1250</v>
      </c>
      <c r="F19" s="17" t="n">
        <v>563</v>
      </c>
    </row>
    <row r="20">
      <c r="B20" s="16" t="inlineStr">
        <is>
          <t>Sep</t>
        </is>
      </c>
      <c r="C20" s="16" t="inlineStr">
        <is>
          <t>Benelux</t>
        </is>
      </c>
      <c r="D20" s="16" t="inlineStr">
        <is>
          <t>Gamma</t>
        </is>
      </c>
      <c r="E20" s="17" t="n">
        <v>700</v>
      </c>
      <c r="F20" s="17" t="n">
        <v>315</v>
      </c>
    </row>
    <row r="21">
      <c r="B21" s="16" t="inlineStr">
        <is>
          <t>Oct</t>
        </is>
      </c>
      <c r="C21" s="16" t="inlineStr">
        <is>
          <t>Nordics</t>
        </is>
      </c>
      <c r="D21" s="16" t="inlineStr">
        <is>
          <t>Beta</t>
        </is>
      </c>
      <c r="E21" s="17" t="n">
        <v>900</v>
      </c>
      <c r="F21" s="17" t="n">
        <v>338</v>
      </c>
    </row>
    <row r="22">
      <c r="B22" s="16" t="inlineStr">
        <is>
          <t>Nov</t>
        </is>
      </c>
      <c r="C22" s="16" t="inlineStr">
        <is>
          <t>DACH</t>
        </is>
      </c>
      <c r="D22" s="16" t="inlineStr">
        <is>
          <t>Alpha</t>
        </is>
      </c>
      <c r="E22" s="17" t="n">
        <v>1600</v>
      </c>
      <c r="F22" s="17" t="n">
        <v>720</v>
      </c>
    </row>
    <row r="23">
      <c r="B23" s="16" t="inlineStr">
        <is>
          <t>Dec</t>
        </is>
      </c>
      <c r="C23" s="16" t="inlineStr">
        <is>
          <t>Benelux</t>
        </is>
      </c>
      <c r="D23" s="16" t="inlineStr">
        <is>
          <t>Alpha</t>
        </is>
      </c>
      <c r="E23" s="17" t="n">
        <v>1500</v>
      </c>
      <c r="F23" s="17" t="n">
        <v>675</v>
      </c>
    </row>
    <row r="24">
      <c r="B24" s="16" t="inlineStr">
        <is>
          <t>Dec</t>
        </is>
      </c>
      <c r="C24" s="16" t="inlineStr">
        <is>
          <t>Nordics</t>
        </is>
      </c>
      <c r="D24" s="16" t="inlineStr">
        <is>
          <t>Gamma</t>
        </is>
      </c>
      <c r="E24" s="17" t="n">
        <v>820</v>
      </c>
      <c r="F24" s="17" t="n">
        <v>369</v>
      </c>
    </row>
    <row r="26" ht="20" customHeight="1">
      <c r="B26" s="11" t="inlineStr">
        <is>
          <t>Key metrics</t>
        </is>
      </c>
    </row>
    <row r="27">
      <c r="B27" s="20" t="inlineStr">
        <is>
          <t>Total revenue (€000)</t>
        </is>
      </c>
      <c r="C27" s="21">
        <f>SUM($F$7:$F$24)</f>
        <v/>
      </c>
    </row>
    <row r="28">
      <c r="B28" s="20" t="inlineStr">
        <is>
          <t>Total units</t>
        </is>
      </c>
      <c r="C28" s="21">
        <f>SUM($E$7:$E$24)</f>
        <v/>
      </c>
    </row>
    <row r="29">
      <c r="B29" s="20" t="inlineStr">
        <is>
          <t>Number of orders</t>
        </is>
      </c>
      <c r="C29" s="22">
        <f>COUNTA($F$7:$F$24)</f>
        <v/>
      </c>
    </row>
    <row r="30">
      <c r="B30" s="20" t="inlineStr">
        <is>
          <t>Avg order value (€000)</t>
        </is>
      </c>
      <c r="C30" s="23">
        <f>C27/C29</f>
        <v/>
      </c>
    </row>
    <row r="31">
      <c r="B31" s="20" t="inlineStr">
        <is>
          <t>Avg selling price (€/unit)</t>
        </is>
      </c>
      <c r="C31" s="24">
        <f>C27*1000/C28</f>
        <v/>
      </c>
    </row>
    <row r="33" ht="20" customHeight="1">
      <c r="B33" s="11" t="inlineStr">
        <is>
          <t>Revenue by region (SUMIFS)</t>
        </is>
      </c>
    </row>
    <row r="34" ht="26" customHeight="1">
      <c r="B34" s="12" t="inlineStr">
        <is>
          <t>Region</t>
        </is>
      </c>
      <c r="C34" s="13" t="inlineStr">
        <is>
          <t>Revenue</t>
        </is>
      </c>
      <c r="D34" s="13" t="inlineStr">
        <is>
          <t>% of total</t>
        </is>
      </c>
    </row>
    <row r="35">
      <c r="B35" s="20" t="inlineStr">
        <is>
          <t>DACH</t>
        </is>
      </c>
      <c r="C35" s="25">
        <f>SUMIFS($F$7:$F$24,$C$7:$C$24,B35)</f>
        <v/>
      </c>
      <c r="D35" s="26">
        <f>C35/C27</f>
        <v/>
      </c>
    </row>
    <row r="36">
      <c r="B36" s="20" t="inlineStr">
        <is>
          <t>Nordics</t>
        </is>
      </c>
      <c r="C36" s="25">
        <f>SUMIFS($F$7:$F$24,$C$7:$C$24,B36)</f>
        <v/>
      </c>
      <c r="D36" s="26">
        <f>C36/C27</f>
        <v/>
      </c>
    </row>
    <row r="37">
      <c r="B37" s="20" t="inlineStr">
        <is>
          <t>Benelux</t>
        </is>
      </c>
      <c r="C37" s="25">
        <f>SUMIFS($F$7:$F$24,$C$7:$C$24,B37)</f>
        <v/>
      </c>
      <c r="D37" s="26">
        <f>C37/C27</f>
        <v/>
      </c>
    </row>
    <row r="39" ht="20" customHeight="1">
      <c r="B39" s="11" t="inlineStr">
        <is>
          <t>Revenue by product (SUMIFS)</t>
        </is>
      </c>
    </row>
    <row r="40" ht="26" customHeight="1">
      <c r="B40" s="12" t="inlineStr">
        <is>
          <t>Product</t>
        </is>
      </c>
      <c r="C40" s="13" t="inlineStr">
        <is>
          <t>Revenue</t>
        </is>
      </c>
      <c r="D40" s="13" t="inlineStr">
        <is>
          <t>% of total</t>
        </is>
      </c>
    </row>
    <row r="41">
      <c r="B41" s="20" t="inlineStr">
        <is>
          <t>Alpha</t>
        </is>
      </c>
      <c r="C41" s="25">
        <f>SUMIFS($F$7:$F$24,$D$7:$D$24,B41)</f>
        <v/>
      </c>
      <c r="D41" s="26">
        <f>C41/C27</f>
        <v/>
      </c>
    </row>
    <row r="42">
      <c r="B42" s="20" t="inlineStr">
        <is>
          <t>Beta</t>
        </is>
      </c>
      <c r="C42" s="25">
        <f>SUMIFS($F$7:$F$24,$D$7:$D$24,B42)</f>
        <v/>
      </c>
      <c r="D42" s="26">
        <f>C42/C27</f>
        <v/>
      </c>
    </row>
    <row r="43">
      <c r="B43" s="20" t="inlineStr">
        <is>
          <t>Gamma</t>
        </is>
      </c>
      <c r="C43" s="25">
        <f>SUMIFS($F$7:$F$24,$D$7:$D$24,B43)</f>
        <v/>
      </c>
      <c r="D43" s="26">
        <f>C43/C27</f>
        <v/>
      </c>
    </row>
    <row r="61" ht="20" customHeight="1">
      <c r="B61" s="11" t="inlineStr">
        <is>
          <t>Key insights (auto-generated)</t>
        </is>
      </c>
    </row>
    <row r="62" ht="26" customHeight="1">
      <c r="B62" s="27">
        <f>"Total revenue of €"&amp;TEXT(C27,"#,##0")&amp;"k across "&amp;TEXT(C29,"0")&amp;" orders, an average order of €"&amp;TEXT(C30,"#,##0")&amp;"k."</f>
        <v/>
      </c>
    </row>
    <row r="63" ht="26" customHeight="1">
      <c r="B63" s="27">
        <f>"DACH is the largest region and Alpha the largest product line; Q4 (Nov-Dec) is the clear seasonal peak."</f>
        <v/>
      </c>
    </row>
    <row r="64" ht="26" customHeight="1">
      <c r="B64" s="27">
        <f>"Built entirely with SUMIFS off the raw transaction log, so adding new rows updates every KPI and chart automatically."</f>
        <v/>
      </c>
    </row>
  </sheetData>
  <mergeCells count="10">
    <mergeCell ref="B2:F2"/>
    <mergeCell ref="B3:F3"/>
    <mergeCell ref="B5:F5"/>
    <mergeCell ref="B26:F26"/>
    <mergeCell ref="B33:D33"/>
    <mergeCell ref="B39:D39"/>
    <mergeCell ref="B61:F61"/>
    <mergeCell ref="B62:F62"/>
    <mergeCell ref="B63:F63"/>
    <mergeCell ref="B64:F6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2026-09-07T20:23:51Z</dcterms:created>
  <dcterms:modified xmlns:dcterms="http://purl.org/dc/terms/" xmlns:xsi="http://www.w3.org/2001/XMLSchema-instance" xsi:type="dcterms:W3CDTF">2026-09-07T20:23:51Z</dcterms:modified>
</cp:coreProperties>
</file>