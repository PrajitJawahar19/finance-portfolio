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B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(#,##0.0);&quot;-&quot;"/>
    <numFmt numFmtId="165" formatCode="0.0&quot;x&quot;"/>
    <numFmt numFmtId="166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9"/>
    </font>
    <font>
      <name val="Arial"/>
      <color rgb="00222222"/>
      <sz val="9.5"/>
    </font>
    <font>
      <name val="Arial"/>
      <b val="1"/>
      <color rgb="001F3A5F"/>
      <sz val="9.5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 vertical="center"/>
    </xf>
    <xf numFmtId="1" fontId="10" fillId="4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right" vertical="center"/>
    </xf>
    <xf numFmtId="164" fontId="14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66" fontId="15" fillId="6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paydown (€M)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'LBO'!$C$22:$H$22</f>
            </numRef>
          </cat>
          <val>
            <numRef>
              <f>'LBO'!$C$30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'LBO'!$C$22:$H$22</f>
            </numRef>
          </cat>
          <val>
            <numRef>
              <f>'LBO'!$D$30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'LBO'!$C$22:$H$22</f>
            </numRef>
          </cat>
          <val>
            <numRef>
              <f>'LBO'!$E$30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'LBO'!$C$22:$H$22</f>
            </numRef>
          </cat>
          <val>
            <numRef>
              <f>'LBO'!$F$30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'LBO'!$C$22:$H$22</f>
            </numRef>
          </cat>
          <val>
            <numRef>
              <f>'LBO'!$G$30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'LBO'!$C$22:$H$22</f>
            </numRef>
          </cat>
          <val>
            <numRef>
              <f>'LBO'!$H$30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11: Leveraged Buyout (LBO) Model</t>
        </is>
      </c>
    </row>
    <row r="6" ht="45" customHeight="1">
      <c r="B6" s="3" t="inlineStr">
        <is>
          <t>Purpose</t>
        </is>
      </c>
      <c r="C6" s="4" t="inlineStr">
        <is>
          <t>Model a private-equity buyout of Helios: fund the deal with debt and equity, sweep free cash flow to pay down debt, then measure sponsor returns (MOIC and IRR) at exit.</t>
        </is>
      </c>
    </row>
    <row r="7" ht="30" customHeight="1">
      <c r="B7" s="3" t="inlineStr">
        <is>
          <t>Techniques shown</t>
        </is>
      </c>
      <c r="C7" s="4" t="inlineStr">
        <is>
          <t>Sources &amp; uses · debt paydown / cash sweep · 5-year projection · exit equity bridge · MOIC and IRR to the sponsor.</t>
        </is>
      </c>
    </row>
    <row r="8" ht="45" customHeight="1">
      <c r="B8" s="3" t="inlineStr">
        <is>
          <t>How to use</t>
        </is>
      </c>
      <c r="C8" s="4" t="inlineStr">
        <is>
          <t>Change the blue entry multiple, leverage, growth or exit multiple; the debt schedule, exit equity and returns recompute.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" customWidth="1" min="9" max="9"/>
  </cols>
  <sheetData>
    <row r="2" ht="30" customHeight="1">
      <c r="B2" s="1" t="inlineStr">
        <is>
          <t>Leveraged Buyout — Helios Consumer GmbH</t>
        </is>
      </c>
    </row>
    <row r="3" ht="16" customHeight="1">
      <c r="B3" s="2" t="inlineStr">
        <is>
          <t>All figures € millions (€M). Blue = input.</t>
        </is>
      </c>
    </row>
    <row r="5" ht="20" customHeight="1">
      <c r="B5" s="11" t="inlineStr">
        <is>
          <t>Entry assumptions</t>
        </is>
      </c>
    </row>
    <row r="6">
      <c r="B6" s="12" t="inlineStr">
        <is>
          <t>Entry EBITDA (€M)</t>
        </is>
      </c>
      <c r="C6" s="13" t="n">
        <v>6.2</v>
      </c>
    </row>
    <row r="7">
      <c r="B7" s="12" t="inlineStr">
        <is>
          <t>Entry EV / EBITDA multiple</t>
        </is>
      </c>
      <c r="C7" s="14" t="n">
        <v>8</v>
      </c>
    </row>
    <row r="8">
      <c r="B8" s="15" t="inlineStr">
        <is>
          <t>Entry enterprise value (€M)</t>
        </is>
      </c>
      <c r="C8" s="16">
        <f>C6*C7</f>
        <v/>
      </c>
    </row>
    <row r="9">
      <c r="B9" s="12" t="inlineStr">
        <is>
          <t>Leverage (Debt / EBITDA)</t>
        </is>
      </c>
      <c r="C9" s="14" t="n">
        <v>4</v>
      </c>
    </row>
    <row r="10">
      <c r="B10" s="15" t="inlineStr">
        <is>
          <t>Debt at entry (€M)</t>
        </is>
      </c>
      <c r="C10" s="16">
        <f>C6*C9</f>
        <v/>
      </c>
    </row>
    <row r="11">
      <c r="B11" s="15" t="inlineStr">
        <is>
          <t>Sponsor equity at entry (€M)</t>
        </is>
      </c>
      <c r="C11" s="16">
        <f>C8-C10</f>
        <v/>
      </c>
    </row>
    <row r="13" ht="20" customHeight="1">
      <c r="B13" s="11" t="inlineStr">
        <is>
          <t>Operating &amp; exit assumptions</t>
        </is>
      </c>
    </row>
    <row r="14">
      <c r="B14" s="12" t="inlineStr">
        <is>
          <t>EBITDA growth p.a.</t>
        </is>
      </c>
      <c r="C14" s="17" t="n">
        <v>0.06</v>
      </c>
    </row>
    <row r="15">
      <c r="B15" s="12" t="inlineStr">
        <is>
          <t>Interest rate on debt</t>
        </is>
      </c>
      <c r="C15" s="17" t="n">
        <v>0.06</v>
      </c>
    </row>
    <row r="16">
      <c r="B16" s="12" t="inlineStr">
        <is>
          <t>Cash tax rate</t>
        </is>
      </c>
      <c r="C16" s="17" t="n">
        <v>0.3</v>
      </c>
    </row>
    <row r="17">
      <c r="B17" s="12" t="inlineStr">
        <is>
          <t>Capex (% of EBITDA)</t>
        </is>
      </c>
      <c r="C17" s="17" t="n">
        <v>0.2</v>
      </c>
    </row>
    <row r="18">
      <c r="B18" s="12" t="inlineStr">
        <is>
          <t>Exit EV / EBITDA multiple</t>
        </is>
      </c>
      <c r="C18" s="14" t="n">
        <v>8.5</v>
      </c>
    </row>
    <row r="19">
      <c r="B19" s="12" t="inlineStr">
        <is>
          <t>Hold period (years)</t>
        </is>
      </c>
      <c r="C19" s="18" t="n">
        <v>5</v>
      </c>
    </row>
    <row r="21" ht="20" customHeight="1">
      <c r="B21" s="11" t="inlineStr">
        <is>
          <t>Debt paydown schedule (€M)</t>
        </is>
      </c>
    </row>
    <row r="22">
      <c r="B22" s="19" t="inlineStr">
        <is>
          <t>€M</t>
        </is>
      </c>
      <c r="C22" s="20" t="inlineStr">
        <is>
          <t>Entry</t>
        </is>
      </c>
      <c r="D22" s="20" t="inlineStr">
        <is>
          <t>Year 1</t>
        </is>
      </c>
      <c r="E22" s="20" t="inlineStr">
        <is>
          <t>Year 2</t>
        </is>
      </c>
      <c r="F22" s="20" t="inlineStr">
        <is>
          <t>Year 3</t>
        </is>
      </c>
      <c r="G22" s="20" t="inlineStr">
        <is>
          <t>Year 4</t>
        </is>
      </c>
      <c r="H22" s="20" t="inlineStr">
        <is>
          <t>Year 5</t>
        </is>
      </c>
    </row>
    <row r="23">
      <c r="B23" s="12" t="inlineStr">
        <is>
          <t>EBITDA</t>
        </is>
      </c>
      <c r="C23" s="21" t="inlineStr"/>
      <c r="D23" s="21">
        <f>$C$6*(1+$C$14)</f>
        <v/>
      </c>
      <c r="E23" s="21">
        <f>D23*(1+$C$14)</f>
        <v/>
      </c>
      <c r="F23" s="21">
        <f>E23*(1+$C$14)</f>
        <v/>
      </c>
      <c r="G23" s="21">
        <f>F23*(1+$C$14)</f>
        <v/>
      </c>
      <c r="H23" s="21">
        <f>G23*(1+$C$14)</f>
        <v/>
      </c>
    </row>
    <row r="24">
      <c r="B24" s="12" t="inlineStr">
        <is>
          <t>Beginning debt</t>
        </is>
      </c>
      <c r="C24" s="21">
        <f>$C$10</f>
        <v/>
      </c>
      <c r="D24" s="21">
        <f>C30</f>
        <v/>
      </c>
      <c r="E24" s="21">
        <f>D30</f>
        <v/>
      </c>
      <c r="F24" s="21">
        <f>E30</f>
        <v/>
      </c>
      <c r="G24" s="21">
        <f>F30</f>
        <v/>
      </c>
      <c r="H24" s="21">
        <f>G30</f>
        <v/>
      </c>
    </row>
    <row r="25">
      <c r="B25" s="12" t="inlineStr">
        <is>
          <t>less: cash interest</t>
        </is>
      </c>
      <c r="C25" s="21" t="inlineStr"/>
      <c r="D25" s="21">
        <f>-D24*$C$15</f>
        <v/>
      </c>
      <c r="E25" s="21">
        <f>-E24*$C$15</f>
        <v/>
      </c>
      <c r="F25" s="21">
        <f>-F24*$C$15</f>
        <v/>
      </c>
      <c r="G25" s="21">
        <f>-G24*$C$15</f>
        <v/>
      </c>
      <c r="H25" s="21">
        <f>-H24*$C$15</f>
        <v/>
      </c>
    </row>
    <row r="26">
      <c r="B26" s="12" t="inlineStr">
        <is>
          <t>less: cash taxes</t>
        </is>
      </c>
      <c r="C26" s="21" t="inlineStr"/>
      <c r="D26" s="21">
        <f>-MAX(0,(D23+D25))*$C$16</f>
        <v/>
      </c>
      <c r="E26" s="21">
        <f>-MAX(0,(E23+E25))*$C$16</f>
        <v/>
      </c>
      <c r="F26" s="21">
        <f>-MAX(0,(F23+F25))*$C$16</f>
        <v/>
      </c>
      <c r="G26" s="21">
        <f>-MAX(0,(G23+G25))*$C$16</f>
        <v/>
      </c>
      <c r="H26" s="21">
        <f>-MAX(0,(H23+H25))*$C$16</f>
        <v/>
      </c>
    </row>
    <row r="27">
      <c r="B27" s="12" t="inlineStr">
        <is>
          <t>less: capex</t>
        </is>
      </c>
      <c r="C27" s="21" t="inlineStr"/>
      <c r="D27" s="21">
        <f>-D23*$C$17</f>
        <v/>
      </c>
      <c r="E27" s="21">
        <f>-E23*$C$17</f>
        <v/>
      </c>
      <c r="F27" s="21">
        <f>-F23*$C$17</f>
        <v/>
      </c>
      <c r="G27" s="21">
        <f>-G23*$C$17</f>
        <v/>
      </c>
      <c r="H27" s="21">
        <f>-H23*$C$17</f>
        <v/>
      </c>
    </row>
    <row r="28">
      <c r="B28" s="15" t="inlineStr">
        <is>
          <t>Free cash flow (sweep)</t>
        </is>
      </c>
      <c r="C28" s="22" t="inlineStr"/>
      <c r="D28" s="22">
        <f>D23+D25+D26+D27</f>
        <v/>
      </c>
      <c r="E28" s="22">
        <f>E23+E25+E26+E27</f>
        <v/>
      </c>
      <c r="F28" s="22">
        <f>F23+F25+F26+F27</f>
        <v/>
      </c>
      <c r="G28" s="22">
        <f>G23+G25+G26+G27</f>
        <v/>
      </c>
      <c r="H28" s="22">
        <f>H23+H25+H26+H27</f>
        <v/>
      </c>
    </row>
    <row r="29">
      <c r="B29" s="12" t="inlineStr">
        <is>
          <t>Debt paydown</t>
        </is>
      </c>
      <c r="C29" s="21" t="inlineStr"/>
      <c r="D29" s="21">
        <f>-MIN(D28,D24)</f>
        <v/>
      </c>
      <c r="E29" s="21">
        <f>-MIN(E28,E24)</f>
        <v/>
      </c>
      <c r="F29" s="21">
        <f>-MIN(F28,F24)</f>
        <v/>
      </c>
      <c r="G29" s="21">
        <f>-MIN(G28,G24)</f>
        <v/>
      </c>
      <c r="H29" s="21">
        <f>-MIN(H28,H24)</f>
        <v/>
      </c>
    </row>
    <row r="30">
      <c r="B30" s="15" t="inlineStr">
        <is>
          <t>Ending debt</t>
        </is>
      </c>
      <c r="C30" s="22">
        <f>$C$10</f>
        <v/>
      </c>
      <c r="D30" s="22">
        <f>D24+D29</f>
        <v/>
      </c>
      <c r="E30" s="22">
        <f>E24+E29</f>
        <v/>
      </c>
      <c r="F30" s="22">
        <f>F24+F29</f>
        <v/>
      </c>
      <c r="G30" s="22">
        <f>G24+G29</f>
        <v/>
      </c>
      <c r="H30" s="22">
        <f>H24+H29</f>
        <v/>
      </c>
    </row>
    <row r="32" ht="20" customHeight="1">
      <c r="B32" s="11" t="inlineStr">
        <is>
          <t>Sponsor returns at exit</t>
        </is>
      </c>
    </row>
    <row r="33">
      <c r="B33" s="12" t="inlineStr">
        <is>
          <t>Exit EBITDA (€M)</t>
        </is>
      </c>
      <c r="C33" s="23">
        <f>H23</f>
        <v/>
      </c>
    </row>
    <row r="34">
      <c r="B34" s="15" t="inlineStr">
        <is>
          <t>Exit enterprise value (€M)</t>
        </is>
      </c>
      <c r="C34" s="16">
        <f>C33*C18</f>
        <v/>
      </c>
    </row>
    <row r="35">
      <c r="B35" s="12" t="inlineStr">
        <is>
          <t>less: exit net debt (€M)</t>
        </is>
      </c>
      <c r="C35" s="23">
        <f>-H30</f>
        <v/>
      </c>
    </row>
    <row r="36">
      <c r="B36" s="15" t="inlineStr">
        <is>
          <t>Exit equity value (€M)</t>
        </is>
      </c>
      <c r="C36" s="16">
        <f>C34+C35</f>
        <v/>
      </c>
    </row>
    <row r="37">
      <c r="B37" s="15" t="inlineStr">
        <is>
          <t>MOIC (x)</t>
        </is>
      </c>
      <c r="C37" s="24">
        <f>C36/C11</f>
        <v/>
      </c>
    </row>
    <row r="38">
      <c r="B38" s="25" t="inlineStr">
        <is>
          <t>IRR (over hold period)</t>
        </is>
      </c>
      <c r="C38" s="26">
        <f>POWER(C37,1/C19)-1</f>
        <v/>
      </c>
    </row>
    <row r="40" ht="20" customHeight="1">
      <c r="B40" s="11" t="inlineStr">
        <is>
          <t>Key insights (auto-generated)</t>
        </is>
      </c>
    </row>
    <row r="41" ht="26" customHeight="1">
      <c r="B41" s="27">
        <f>"Entry at "&amp;TEXT(C7,"0.0")&amp;"x EBITDA with "&amp;TEXT(C9,"0.0")&amp;"x leverage; sponsor equity of €"&amp;TEXT(C11,"0.0")&amp;"M."</f>
        <v/>
      </c>
    </row>
    <row r="42" ht="26" customHeight="1">
      <c r="B42" s="27">
        <f>"Cash sweep cuts debt from €"&amp;TEXT(C10,"0.0")&amp;"M to €"&amp;TEXT(H30,"0.0")&amp;"M over the hold."</f>
        <v/>
      </c>
    </row>
    <row r="43" ht="26" customHeight="1">
      <c r="B43" s="27">
        <f>"Exit at "&amp;TEXT(C18,"0.0")&amp;"x delivers "&amp;TEXT(C37,"0.0")&amp;"x MOIC and a "&amp;TEXT(C38,"0.0%")&amp;" IRR."</f>
        <v/>
      </c>
    </row>
  </sheetData>
  <mergeCells count="10">
    <mergeCell ref="B2:H2"/>
    <mergeCell ref="B3:H3"/>
    <mergeCell ref="B5:D5"/>
    <mergeCell ref="B13:D13"/>
    <mergeCell ref="B21:H21"/>
    <mergeCell ref="B32:D32"/>
    <mergeCell ref="B40:H40"/>
    <mergeCell ref="B41:H41"/>
    <mergeCell ref="B42:H42"/>
    <mergeCell ref="B43:H4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2026-09-07T20:54:14Z</dcterms:created>
  <dcterms:modified xmlns:dcterms="http://purl.org/dc/terms/" xmlns:xsi="http://www.w3.org/2001/XMLSchema-instance" xsi:type="dcterms:W3CDTF">2026-09-07T20:54:14Z</dcterms:modified>
</cp:coreProperties>
</file>