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omp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;(0.0%);&quot;-&quot;"/>
    <numFmt numFmtId="165" formatCode="#,##0;(#,##0);&quot;-&quot;"/>
    <numFmt numFmtId="166" formatCode="0.0&quot; d&quot;"/>
    <numFmt numFmtId="167" formatCode="0.000"/>
    <numFmt numFmtId="168" formatCode="€ #,##0.00"/>
    <numFmt numFmtId="169" formatCode="0.0&quot;x&quot;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FFFFFF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8000"/>
      <sz val="11"/>
    </font>
    <font>
      <name val="Arial"/>
      <b val="1"/>
      <color rgb="00FFFFFF"/>
      <sz val="11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4" fontId="11" fillId="4" borderId="1" applyAlignment="1" pivotButton="0" quotePrefix="0" xfId="0">
      <alignment horizontal="right" vertical="center"/>
    </xf>
    <xf numFmtId="2" fontId="11" fillId="4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165" fontId="11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5" fontId="15" fillId="0" borderId="1" applyAlignment="1" pivotButton="0" quotePrefix="0" xfId="0">
      <alignment horizontal="right" vertical="center"/>
    </xf>
    <xf numFmtId="165" fontId="15" fillId="5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/>
    </xf>
    <xf numFmtId="168" fontId="16" fillId="6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169" fontId="11" fillId="4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169" fontId="14" fillId="2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8" fontId="18" fillId="0" borderId="1" applyAlignment="1" pivotButton="0" quotePrefix="0" xfId="0">
      <alignment horizontal="right" vertical="center"/>
    </xf>
    <xf numFmtId="168" fontId="19" fillId="0" borderId="1" applyAlignment="1" pivotButton="0" quotePrefix="0" xfId="0">
      <alignment horizontal="right" vertical="center"/>
    </xf>
    <xf numFmtId="168" fontId="20" fillId="2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8" fontId="20" fillId="6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Unlevered FCF &amp; PV of FCF (€000)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'DCF'!B13</f>
            </strRef>
          </tx>
          <spPr>
            <a:solidFill xmlns:a="http://schemas.openxmlformats.org/drawingml/2006/main">
              <a:srgbClr val="9AA7B4"/>
            </a:solidFill>
            <a:ln xmlns:a="http://schemas.openxmlformats.org/drawingml/2006/main">
              <a:prstDash val="solid"/>
            </a:ln>
          </spPr>
          <cat>
            <numRef>
              <f>'DCF'!$C$5:$G$5</f>
            </numRef>
          </cat>
          <val>
            <numRef>
              <f>'DCF'!$C$13:$G$13</f>
            </numRef>
          </val>
        </ser>
        <ser>
          <idx val="1"/>
          <order val="1"/>
          <tx>
            <strRef>
              <f>'DCF'!B15</f>
            </strRef>
          </tx>
          <spPr>
            <a:solidFill xmlns:a="http://schemas.openxmlformats.org/drawingml/2006/main">
              <a:srgbClr val="17B890"/>
            </a:solidFill>
            <a:ln xmlns:a="http://schemas.openxmlformats.org/drawingml/2006/main">
              <a:prstDash val="solid"/>
            </a:ln>
          </spPr>
          <cat>
            <numRef>
              <f>'DCF'!$C$5:$G$5</f>
            </numRef>
          </cat>
          <val>
            <numRef>
              <f>'DCF'!$C$15:$G$15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football field (€/share)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'Summary'!$B$6:$B$8</f>
            </numRef>
          </cat>
          <val>
            <numRef>
              <f>'Summary'!$C$6:$C$8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07: DCF &amp; Comparable Company Valuation</t>
        </is>
      </c>
    </row>
    <row r="6" ht="45" customHeight="1">
      <c r="B6" s="3" t="inlineStr">
        <is>
          <t>Purpose</t>
        </is>
      </c>
      <c r="C6" s="4" t="inlineStr">
        <is>
          <t>Value Helios Consumer GmbH two ways: an intrinsic discounted-cash-flow model and a market-based trading-comparables analysis, then triangulate to a share-price range.</t>
        </is>
      </c>
    </row>
    <row r="7" ht="45" customHeight="1">
      <c r="B7" s="3" t="inlineStr">
        <is>
          <t>Techniques shown</t>
        </is>
      </c>
      <c r="C7" s="4" t="inlineStr">
        <is>
          <t>Unlevered FCF projection · WACC from CAPM · Gordon-growth terminal value · enterprise-to-equity bridge · trading comps (EV/EBITDA, P/E) · valuation range.</t>
        </is>
      </c>
    </row>
    <row r="8" ht="45" customHeight="1">
      <c r="B8" s="3" t="inlineStr">
        <is>
          <t>How to use</t>
        </is>
      </c>
      <c r="C8" s="4" t="inlineStr">
        <is>
          <t>Change the blue drivers on 'Assumptions' (WACC inputs, growth, margins) or the peer multiples on 'Comps'; the DCF, comps and summary range all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2" customWidth="1" min="4" max="4"/>
  </cols>
  <sheetData>
    <row r="2" ht="30" customHeight="1">
      <c r="B2" s="1" t="inlineStr">
        <is>
          <t>Valuation Assumptions</t>
        </is>
      </c>
    </row>
    <row r="3" ht="16" customHeight="1">
      <c r="B3" s="2" t="inlineStr">
        <is>
          <t>€000 unless shown as %. Blue = input.</t>
        </is>
      </c>
    </row>
    <row r="5" ht="20" customHeight="1">
      <c r="B5" s="11" t="inlineStr">
        <is>
          <t>Cost of capital (WACC)</t>
        </is>
      </c>
    </row>
    <row r="6">
      <c r="B6" s="12" t="inlineStr">
        <is>
          <t>Risk-free rate</t>
        </is>
      </c>
      <c r="C6" s="13" t="n">
        <v>0.03</v>
      </c>
    </row>
    <row r="7">
      <c r="B7" s="12" t="inlineStr">
        <is>
          <t>Equity risk premium</t>
        </is>
      </c>
      <c r="C7" s="13" t="n">
        <v>0.06</v>
      </c>
    </row>
    <row r="8">
      <c r="B8" s="12" t="inlineStr">
        <is>
          <t>Beta</t>
        </is>
      </c>
      <c r="C8" s="14" t="n">
        <v>1.2</v>
      </c>
    </row>
    <row r="9">
      <c r="B9" s="5" t="inlineStr">
        <is>
          <t>Cost of equity</t>
        </is>
      </c>
      <c r="C9" s="15">
        <f>$C$6+$C$8*$C$7</f>
        <v/>
      </c>
    </row>
    <row r="10">
      <c r="B10" s="12" t="inlineStr">
        <is>
          <t>Pre-tax cost of debt</t>
        </is>
      </c>
      <c r="C10" s="13" t="n">
        <v>0.05</v>
      </c>
    </row>
    <row r="11">
      <c r="B11" s="12" t="inlineStr">
        <is>
          <t>Tax rate</t>
        </is>
      </c>
      <c r="C11" s="13" t="n">
        <v>0.3</v>
      </c>
    </row>
    <row r="12">
      <c r="B12" s="5" t="inlineStr">
        <is>
          <t>After-tax cost of debt</t>
        </is>
      </c>
      <c r="C12" s="15">
        <f>$C$10*(1-$C$11)</f>
        <v/>
      </c>
    </row>
    <row r="13">
      <c r="B13" s="12" t="inlineStr">
        <is>
          <t>Equity weight</t>
        </is>
      </c>
      <c r="C13" s="13" t="n">
        <v>0.65</v>
      </c>
    </row>
    <row r="14">
      <c r="B14" s="12" t="inlineStr">
        <is>
          <t>Debt weight</t>
        </is>
      </c>
      <c r="C14" s="13" t="n">
        <v>0.35</v>
      </c>
    </row>
    <row r="15">
      <c r="B15" s="5" t="inlineStr">
        <is>
          <t>WACC</t>
        </is>
      </c>
      <c r="C15" s="15">
        <f>$C$13*$C$9+$C$14*$C$12</f>
        <v/>
      </c>
    </row>
    <row r="17" ht="20" customHeight="1">
      <c r="B17" s="11" t="inlineStr">
        <is>
          <t>Operating &amp; valuation drivers</t>
        </is>
      </c>
    </row>
    <row r="18">
      <c r="B18" s="12" t="inlineStr">
        <is>
          <t>Base revenue, FY2025</t>
        </is>
      </c>
      <c r="C18" s="16" t="n">
        <v>49500</v>
      </c>
    </row>
    <row r="19">
      <c r="B19" s="12" t="inlineStr">
        <is>
          <t>Prior-year revenue, FY2024</t>
        </is>
      </c>
      <c r="C19" s="16" t="n">
        <v>45000</v>
      </c>
    </row>
    <row r="20">
      <c r="B20" s="12" t="inlineStr">
        <is>
          <t>EBIT margin</t>
        </is>
      </c>
      <c r="C20" s="13" t="n">
        <v>0.1</v>
      </c>
    </row>
    <row r="21">
      <c r="B21" s="12" t="inlineStr">
        <is>
          <t>D&amp;A (% of revenue)</t>
        </is>
      </c>
      <c r="C21" s="13" t="n">
        <v>0.024</v>
      </c>
    </row>
    <row r="22">
      <c r="B22" s="12" t="inlineStr">
        <is>
          <t>Capex (% of revenue)</t>
        </is>
      </c>
      <c r="C22" s="13" t="n">
        <v>0.03</v>
      </c>
    </row>
    <row r="23">
      <c r="B23" s="12" t="inlineStr">
        <is>
          <t>Net working capital (days)</t>
        </is>
      </c>
      <c r="C23" s="17" t="n">
        <v>47</v>
      </c>
    </row>
    <row r="24">
      <c r="B24" s="12" t="inlineStr">
        <is>
          <t>Terminal growth rate</t>
        </is>
      </c>
      <c r="C24" s="13" t="n">
        <v>0.02</v>
      </c>
    </row>
    <row r="25">
      <c r="B25" s="12" t="inlineStr">
        <is>
          <t>Net debt</t>
        </is>
      </c>
      <c r="C25" s="16" t="n">
        <v>1558</v>
      </c>
    </row>
    <row r="26">
      <c r="B26" s="12" t="inlineStr">
        <is>
          <t>Shares outstanding (000s)</t>
        </is>
      </c>
      <c r="C26" s="16" t="n">
        <v>3000</v>
      </c>
    </row>
    <row r="28" ht="20" customHeight="1">
      <c r="B28" s="11" t="inlineStr">
        <is>
          <t>Revenue growth by year</t>
        </is>
      </c>
    </row>
    <row r="29">
      <c r="B29" s="12" t="inlineStr">
        <is>
          <t>Revenue growth, FY2026</t>
        </is>
      </c>
      <c r="C29" s="13" t="n">
        <v>0.07000000000000001</v>
      </c>
    </row>
    <row r="30">
      <c r="B30" s="12" t="inlineStr">
        <is>
          <t>Revenue growth, FY2027</t>
        </is>
      </c>
      <c r="C30" s="13" t="n">
        <v>0.06</v>
      </c>
    </row>
    <row r="31">
      <c r="B31" s="12" t="inlineStr">
        <is>
          <t>Revenue growth, FY2028</t>
        </is>
      </c>
      <c r="C31" s="13" t="n">
        <v>0.05</v>
      </c>
    </row>
    <row r="32">
      <c r="B32" s="12" t="inlineStr">
        <is>
          <t>Revenue growth, FY2029</t>
        </is>
      </c>
      <c r="C32" s="13" t="n">
        <v>0.04</v>
      </c>
    </row>
  </sheetData>
  <mergeCells count="5">
    <mergeCell ref="B2:C2"/>
    <mergeCell ref="B3:C3"/>
    <mergeCell ref="B5:C5"/>
    <mergeCell ref="B17:C17"/>
    <mergeCell ref="B28:C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" customWidth="1" min="8" max="8"/>
  </cols>
  <sheetData>
    <row r="2" ht="30" customHeight="1">
      <c r="B2" s="1" t="inlineStr">
        <is>
          <t>Discounted Cash Flow — Unlevered FCF</t>
        </is>
      </c>
    </row>
    <row r="3" ht="16" customHeight="1">
      <c r="B3" s="2" t="inlineStr">
        <is>
          <t>€000. Green = linked from Assumptions.</t>
        </is>
      </c>
    </row>
    <row r="5">
      <c r="B5" s="18" t="inlineStr">
        <is>
          <t>€000</t>
        </is>
      </c>
      <c r="C5" s="19" t="inlineStr">
        <is>
          <t>FY2025</t>
        </is>
      </c>
      <c r="D5" s="19" t="inlineStr">
        <is>
          <t>FY2026</t>
        </is>
      </c>
      <c r="E5" s="19" t="inlineStr">
        <is>
          <t>FY2027</t>
        </is>
      </c>
      <c r="F5" s="19" t="inlineStr">
        <is>
          <t>FY2028</t>
        </is>
      </c>
      <c r="G5" s="19" t="inlineStr">
        <is>
          <t>FY2029</t>
        </is>
      </c>
    </row>
    <row r="6">
      <c r="B6" s="20" t="inlineStr">
        <is>
          <t>Period (t)</t>
        </is>
      </c>
      <c r="C6" s="21" t="n">
        <v>1</v>
      </c>
      <c r="D6" s="21" t="n">
        <v>2</v>
      </c>
      <c r="E6" s="21" t="n">
        <v>3</v>
      </c>
      <c r="F6" s="21" t="n">
        <v>4</v>
      </c>
      <c r="G6" s="21" t="n">
        <v>5</v>
      </c>
    </row>
    <row r="7">
      <c r="B7" s="20" t="inlineStr">
        <is>
          <t>Revenue</t>
        </is>
      </c>
      <c r="C7" s="22">
        <f>Assumptions!$C$18</f>
        <v/>
      </c>
      <c r="D7" s="22">
        <f>C7*(1+Assumptions!$C$29)</f>
        <v/>
      </c>
      <c r="E7" s="22">
        <f>D7*(1+Assumptions!$C$30)</f>
        <v/>
      </c>
      <c r="F7" s="22">
        <f>E7*(1+Assumptions!$C$31)</f>
        <v/>
      </c>
      <c r="G7" s="22">
        <f>F7*(1+Assumptions!$C$32)</f>
        <v/>
      </c>
    </row>
    <row r="8">
      <c r="B8" s="20" t="inlineStr">
        <is>
          <t>EBIT</t>
        </is>
      </c>
      <c r="C8" s="22">
        <f>C7*Assumptions!$C$20</f>
        <v/>
      </c>
      <c r="D8" s="22">
        <f>D7*Assumptions!$C$20</f>
        <v/>
      </c>
      <c r="E8" s="22">
        <f>E7*Assumptions!$C$20</f>
        <v/>
      </c>
      <c r="F8" s="22">
        <f>F7*Assumptions!$C$20</f>
        <v/>
      </c>
      <c r="G8" s="22">
        <f>G7*Assumptions!$C$20</f>
        <v/>
      </c>
    </row>
    <row r="9">
      <c r="B9" s="20" t="inlineStr">
        <is>
          <t>NOPAT (EBIT x (1-tax))</t>
        </is>
      </c>
      <c r="C9" s="22">
        <f>C8*(1-Assumptions!$C$11)</f>
        <v/>
      </c>
      <c r="D9" s="22">
        <f>D8*(1-Assumptions!$C$11)</f>
        <v/>
      </c>
      <c r="E9" s="22">
        <f>E8*(1-Assumptions!$C$11)</f>
        <v/>
      </c>
      <c r="F9" s="22">
        <f>F8*(1-Assumptions!$C$11)</f>
        <v/>
      </c>
      <c r="G9" s="22">
        <f>G8*(1-Assumptions!$C$11)</f>
        <v/>
      </c>
    </row>
    <row r="10">
      <c r="B10" s="20" t="inlineStr">
        <is>
          <t>add: D&amp;A</t>
        </is>
      </c>
      <c r="C10" s="22">
        <f>C7*Assumptions!$C$21</f>
        <v/>
      </c>
      <c r="D10" s="22">
        <f>D7*Assumptions!$C$21</f>
        <v/>
      </c>
      <c r="E10" s="22">
        <f>E7*Assumptions!$C$21</f>
        <v/>
      </c>
      <c r="F10" s="22">
        <f>F7*Assumptions!$C$21</f>
        <v/>
      </c>
      <c r="G10" s="22">
        <f>G7*Assumptions!$C$21</f>
        <v/>
      </c>
    </row>
    <row r="11">
      <c r="B11" s="20" t="inlineStr">
        <is>
          <t>less: Capex</t>
        </is>
      </c>
      <c r="C11" s="22">
        <f>-C7*Assumptions!$C$22</f>
        <v/>
      </c>
      <c r="D11" s="22">
        <f>-D7*Assumptions!$C$22</f>
        <v/>
      </c>
      <c r="E11" s="22">
        <f>-E7*Assumptions!$C$22</f>
        <v/>
      </c>
      <c r="F11" s="22">
        <f>-F7*Assumptions!$C$22</f>
        <v/>
      </c>
      <c r="G11" s="22">
        <f>-G7*Assumptions!$C$22</f>
        <v/>
      </c>
    </row>
    <row r="12">
      <c r="B12" s="20" t="inlineStr">
        <is>
          <t>less: change in NWC</t>
        </is>
      </c>
      <c r="C12" s="22">
        <f>-(C7-Assumptions!$C$19)*Assumptions!$C$23/365</f>
        <v/>
      </c>
      <c r="D12" s="22">
        <f>-(D7-C7)*Assumptions!$C$23/365</f>
        <v/>
      </c>
      <c r="E12" s="22">
        <f>-(E7-D7)*Assumptions!$C$23/365</f>
        <v/>
      </c>
      <c r="F12" s="22">
        <f>-(F7-E7)*Assumptions!$C$23/365</f>
        <v/>
      </c>
      <c r="G12" s="22">
        <f>-(G7-F7)*Assumptions!$C$23/365</f>
        <v/>
      </c>
    </row>
    <row r="13">
      <c r="B13" s="23" t="inlineStr">
        <is>
          <t>Unlevered FCF</t>
        </is>
      </c>
      <c r="C13" s="24">
        <f>C9+C10+C11+C12</f>
        <v/>
      </c>
      <c r="D13" s="24">
        <f>D9+D10+D11+D12</f>
        <v/>
      </c>
      <c r="E13" s="24">
        <f>E9+E10+E11+E12</f>
        <v/>
      </c>
      <c r="F13" s="24">
        <f>F9+F10+F11+F12</f>
        <v/>
      </c>
      <c r="G13" s="24">
        <f>G9+G10+G11+G12</f>
        <v/>
      </c>
    </row>
    <row r="14">
      <c r="B14" s="20" t="inlineStr">
        <is>
          <t>Discount factor</t>
        </is>
      </c>
      <c r="C14" s="25">
        <f>1/POWER(1+Assumptions!$C$15,C6)</f>
        <v/>
      </c>
      <c r="D14" s="25">
        <f>1/POWER(1+Assumptions!$C$15,D6)</f>
        <v/>
      </c>
      <c r="E14" s="25">
        <f>1/POWER(1+Assumptions!$C$15,E6)</f>
        <v/>
      </c>
      <c r="F14" s="25">
        <f>1/POWER(1+Assumptions!$C$15,F6)</f>
        <v/>
      </c>
      <c r="G14" s="25">
        <f>1/POWER(1+Assumptions!$C$15,G6)</f>
        <v/>
      </c>
    </row>
    <row r="15">
      <c r="B15" s="26" t="inlineStr">
        <is>
          <t>PV of FCF</t>
        </is>
      </c>
      <c r="C15" s="27">
        <f>C13*C14</f>
        <v/>
      </c>
      <c r="D15" s="27">
        <f>D13*D14</f>
        <v/>
      </c>
      <c r="E15" s="27">
        <f>E13*E14</f>
        <v/>
      </c>
      <c r="F15" s="27">
        <f>F13*F14</f>
        <v/>
      </c>
      <c r="G15" s="27">
        <f>G13*G14</f>
        <v/>
      </c>
    </row>
    <row r="17">
      <c r="B17" s="23" t="inlineStr">
        <is>
          <t>Sum of PV of FCF (FY2025-FY2029)</t>
        </is>
      </c>
      <c r="C17" s="28">
        <f>SUM(C15:G15)</f>
        <v/>
      </c>
    </row>
    <row r="18">
      <c r="B18" s="20" t="inlineStr">
        <is>
          <t>Terminal value (Gordon growth)</t>
        </is>
      </c>
      <c r="C18" s="22">
        <f>G13*(1+Assumptions!$C$24)/(Assumptions!$C$15-Assumptions!$C$24)</f>
        <v/>
      </c>
    </row>
    <row r="19">
      <c r="B19" s="20" t="inlineStr">
        <is>
          <t>PV of terminal value</t>
        </is>
      </c>
      <c r="C19" s="22">
        <f>C18*G14</f>
        <v/>
      </c>
    </row>
    <row r="20">
      <c r="B20" s="23" t="inlineStr">
        <is>
          <t>Enterprise value</t>
        </is>
      </c>
      <c r="C20" s="28">
        <f>C17+C19</f>
        <v/>
      </c>
    </row>
    <row r="21">
      <c r="B21" s="20" t="inlineStr">
        <is>
          <t>less: Net debt</t>
        </is>
      </c>
      <c r="C21" s="22">
        <f>-Assumptions!$C$25</f>
        <v/>
      </c>
    </row>
    <row r="22">
      <c r="B22" s="23" t="inlineStr">
        <is>
          <t>Equity value</t>
        </is>
      </c>
      <c r="C22" s="28">
        <f>C20+C21</f>
        <v/>
      </c>
    </row>
    <row r="23">
      <c r="B23" s="29" t="inlineStr">
        <is>
          <t>DCF value per share (EUR)</t>
        </is>
      </c>
      <c r="C23" s="30">
        <f>C22/Assumptions!$C$26</f>
        <v/>
      </c>
    </row>
  </sheetData>
  <mergeCells count="2">
    <mergeCell ref="B2:G2"/>
    <mergeCell ref="B3:G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6" customWidth="1" min="4" max="4"/>
    <col width="2" customWidth="1" min="5" max="5"/>
  </cols>
  <sheetData>
    <row r="2" ht="30" customHeight="1">
      <c r="B2" s="1" t="inlineStr">
        <is>
          <t>Trading Comparables</t>
        </is>
      </c>
    </row>
    <row r="3" ht="16" customHeight="1">
      <c r="B3" s="2" t="inlineStr">
        <is>
          <t>Peer multiples applied to Helios. Green = linked from DCF.</t>
        </is>
      </c>
    </row>
    <row r="5" ht="26" customHeight="1">
      <c r="B5" s="31" t="inlineStr">
        <is>
          <t>Peer company</t>
        </is>
      </c>
      <c r="C5" s="32" t="inlineStr">
        <is>
          <t>EV / EBITDA</t>
        </is>
      </c>
      <c r="D5" s="32" t="inlineStr">
        <is>
          <t>P / E</t>
        </is>
      </c>
    </row>
    <row r="6">
      <c r="B6" s="33" t="inlineStr">
        <is>
          <t>Nordwind Appliances</t>
        </is>
      </c>
      <c r="C6" s="34" t="n">
        <v>9.199999999999999</v>
      </c>
      <c r="D6" s="34" t="n">
        <v>15.5</v>
      </c>
    </row>
    <row r="7">
      <c r="B7" s="33" t="inlineStr">
        <is>
          <t>Rheingold Electronics</t>
        </is>
      </c>
      <c r="C7" s="34" t="n">
        <v>10.4</v>
      </c>
      <c r="D7" s="34" t="n">
        <v>18</v>
      </c>
    </row>
    <row r="8">
      <c r="B8" s="33" t="inlineStr">
        <is>
          <t>Alpina Home</t>
        </is>
      </c>
      <c r="C8" s="34" t="n">
        <v>8.6</v>
      </c>
      <c r="D8" s="34" t="n">
        <v>14.2</v>
      </c>
    </row>
    <row r="9">
      <c r="B9" s="33" t="inlineStr">
        <is>
          <t>Vega Consumer</t>
        </is>
      </c>
      <c r="C9" s="34" t="n">
        <v>11.1</v>
      </c>
      <c r="D9" s="34" t="n">
        <v>19.5</v>
      </c>
    </row>
    <row r="10">
      <c r="B10" s="33" t="inlineStr">
        <is>
          <t>Meridian Devices</t>
        </is>
      </c>
      <c r="C10" s="34" t="n">
        <v>9.800000000000001</v>
      </c>
      <c r="D10" s="34" t="n">
        <v>16.8</v>
      </c>
    </row>
    <row r="11">
      <c r="B11" s="35" t="inlineStr">
        <is>
          <t>Median</t>
        </is>
      </c>
      <c r="C11" s="36">
        <f>MEDIAN(C6:C10)</f>
        <v/>
      </c>
      <c r="D11" s="36">
        <f>MEDIAN(D6:D10)</f>
        <v/>
      </c>
    </row>
    <row r="12">
      <c r="B12" s="35" t="inlineStr">
        <is>
          <t>Mean</t>
        </is>
      </c>
      <c r="C12" s="36">
        <f>AVERAGE(C6:C10)</f>
        <v/>
      </c>
      <c r="D12" s="36">
        <f>AVERAGE(D6:D10)</f>
        <v/>
      </c>
    </row>
    <row r="14" ht="20" customHeight="1">
      <c r="B14" s="11" t="inlineStr">
        <is>
          <t>Implied valuation of Helios (€000)</t>
        </is>
      </c>
    </row>
    <row r="15">
      <c r="B15" s="20" t="inlineStr">
        <is>
          <t>Helios EBITDA, FY2025</t>
        </is>
      </c>
      <c r="C15" s="37">
        <f>DCF!C8+DCF!C10</f>
        <v/>
      </c>
    </row>
    <row r="16">
      <c r="B16" s="20" t="inlineStr">
        <is>
          <t>Helios net income, FY2025</t>
        </is>
      </c>
      <c r="C16" s="37">
        <f>DCF!C9-Assumptions!$C$10*Assumptions!$C$25*(1-Assumptions!$C$11)</f>
        <v/>
      </c>
    </row>
    <row r="17">
      <c r="B17" s="20" t="inlineStr">
        <is>
          <t>Implied EV (median EV/EBITDA)</t>
        </is>
      </c>
      <c r="C17" s="37">
        <f>C11*C15</f>
        <v/>
      </c>
    </row>
    <row r="18">
      <c r="B18" s="20" t="inlineStr">
        <is>
          <t>Implied equity (EV/EBITDA)</t>
        </is>
      </c>
      <c r="C18" s="37">
        <f>C17-Assumptions!$C$25</f>
        <v/>
      </c>
    </row>
    <row r="19">
      <c r="B19" s="26" t="inlineStr">
        <is>
          <t>Value/share, EV/EBITDA (EUR)</t>
        </is>
      </c>
      <c r="C19" s="38">
        <f>C18/Assumptions!$C$26</f>
        <v/>
      </c>
    </row>
    <row r="20">
      <c r="B20" s="20" t="inlineStr">
        <is>
          <t>Implied equity (median P/E)</t>
        </is>
      </c>
      <c r="C20" s="37">
        <f>D11*C16</f>
        <v/>
      </c>
    </row>
    <row r="21">
      <c r="B21" s="26" t="inlineStr">
        <is>
          <t>Value/share, P/E (EUR)</t>
        </is>
      </c>
      <c r="C21" s="38">
        <f>C20/Assumptions!$C$26</f>
        <v/>
      </c>
    </row>
  </sheetData>
  <mergeCells count="3">
    <mergeCell ref="B2:D2"/>
    <mergeCell ref="B3:D3"/>
    <mergeCell ref="B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2" ht="30" customHeight="1">
      <c r="B2" s="1" t="inlineStr">
        <is>
          <t>Valuation Summary — Value per Share (EUR)</t>
        </is>
      </c>
    </row>
    <row r="3" ht="16" customHeight="1">
      <c r="B3" s="2" t="inlineStr">
        <is>
          <t>Triangulation across methods.</t>
        </is>
      </c>
    </row>
    <row r="5" ht="26" customHeight="1">
      <c r="B5" s="31" t="inlineStr">
        <is>
          <t>Method</t>
        </is>
      </c>
      <c r="C5" s="32" t="inlineStr">
        <is>
          <t>Value / share</t>
        </is>
      </c>
    </row>
    <row r="6">
      <c r="B6" s="33" t="inlineStr">
        <is>
          <t>DCF (intrinsic)</t>
        </is>
      </c>
      <c r="C6" s="39">
        <f>DCF!C23</f>
        <v/>
      </c>
    </row>
    <row r="7">
      <c r="B7" s="33" t="inlineStr">
        <is>
          <t>Comps — EV/EBITDA</t>
        </is>
      </c>
      <c r="C7" s="39">
        <f>Comps!C19</f>
        <v/>
      </c>
    </row>
    <row r="8">
      <c r="B8" s="33" t="inlineStr">
        <is>
          <t>Comps — P/E</t>
        </is>
      </c>
      <c r="C8" s="39">
        <f>Comps!C21</f>
        <v/>
      </c>
    </row>
    <row r="9">
      <c r="B9" s="35" t="inlineStr">
        <is>
          <t>Low</t>
        </is>
      </c>
      <c r="C9" s="40">
        <f>MIN(C6:C8)</f>
        <v/>
      </c>
    </row>
    <row r="10">
      <c r="B10" s="41" t="inlineStr">
        <is>
          <t>Midpoint</t>
        </is>
      </c>
      <c r="C10" s="42">
        <f>MEDIAN(C6:C8)</f>
        <v/>
      </c>
    </row>
    <row r="11">
      <c r="B11" s="35" t="inlineStr">
        <is>
          <t>High</t>
        </is>
      </c>
      <c r="C11" s="40">
        <f>MAX(C6:C8)</f>
        <v/>
      </c>
    </row>
    <row r="14" ht="20" customHeight="1">
      <c r="B14" s="11" t="inlineStr">
        <is>
          <t>Key insight (auto-generated)</t>
        </is>
      </c>
    </row>
    <row r="15" ht="42" customHeight="1">
      <c r="B15" s="43">
        <f>"Triangulated value of about €"&amp;TEXT(C8,"0.00")&amp;" per share (range €"&amp;TEXT(C6,"0.00")&amp;" to €"&amp;TEXT(C11,"0.00")&amp;"), where DCF and market multiples broadly agree."</f>
        <v/>
      </c>
    </row>
  </sheetData>
  <mergeCells count="4">
    <mergeCell ref="B2:C2"/>
    <mergeCell ref="B3:C3"/>
    <mergeCell ref="B14:C14"/>
    <mergeCell ref="B15:C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2026-09-07T20:23:51Z</dcterms:created>
  <dcterms:modified xmlns:dcterms="http://purl.org/dc/terms/" xmlns:xsi="http://www.w3.org/2001/XMLSchema-instance" xsi:type="dcterms:W3CDTF">2026-09-07T20:23:51Z</dcterms:modified>
</cp:coreProperties>
</file>