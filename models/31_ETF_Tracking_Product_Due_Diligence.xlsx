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TF Trac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;(0.0%);&quot;-&quot;"/>
    <numFmt numFmtId="165" formatCode="0.00%;(0.00%);&quot;-&quot;"/>
    <numFmt numFmtId="166" formatCode="#,##0.0;(#,##0.0);&quot;-&quot;"/>
    <numFmt numFmtId="167" formatCode="0&quot; bps&quot;"/>
    <numFmt numFmtId="168" formatCode="0.00&quot;x&quot;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A5F"/>
      <sz val="10"/>
    </font>
    <font>
      <name val="Arial"/>
      <color rgb="00222222"/>
      <sz val="10"/>
    </font>
    <font>
      <name val="Arial"/>
      <b val="1"/>
      <color rgb="000000FF"/>
      <sz val="9"/>
    </font>
    <font>
      <name val="Arial"/>
      <color rgb="00444444"/>
      <sz val="9"/>
    </font>
    <font>
      <name val="Arial"/>
      <b val="1"/>
      <color rgb="00000000"/>
      <sz val="9"/>
    </font>
    <font>
      <name val="Arial"/>
      <b val="1"/>
      <color rgb="000000FF"/>
      <sz val="10"/>
    </font>
    <font>
      <name val="Arial"/>
      <b val="1"/>
      <color rgb="001F3A5F"/>
      <sz val="11"/>
    </font>
    <font>
      <name val="Arial"/>
      <b val="1"/>
      <color rgb="00FFFFFF"/>
      <sz val="8.300000000000001"/>
    </font>
    <font>
      <name val="Arial"/>
      <color rgb="00000000"/>
      <sz val="9.5"/>
    </font>
    <font>
      <name val="Arial"/>
      <color rgb="006B7280"/>
      <sz val="9"/>
    </font>
    <font>
      <name val="Arial"/>
      <color rgb="000000FF"/>
      <sz val="9.5"/>
    </font>
    <font>
      <name val="Arial"/>
      <b val="1"/>
      <color rgb="00000000"/>
      <sz val="9.5"/>
    </font>
    <font>
      <name val="Arial"/>
      <b val="1"/>
      <color rgb="00FFFFFF"/>
      <sz val="10"/>
    </font>
    <font>
      <name val="Arial"/>
      <b val="1"/>
      <color rgb="00222222"/>
      <sz val="10"/>
    </font>
    <font>
      <name val="Arial"/>
      <color rgb="00333333"/>
      <sz val="9.5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A88"/>
      </patternFill>
    </fill>
    <fill>
      <patternFill patternType="solid">
        <fgColor rgb="00FFF2CC"/>
      </patternFill>
    </fill>
    <fill>
      <patternFill patternType="solid">
        <fgColor rgb="00EAF0F6"/>
      </patternFill>
    </fill>
    <fill>
      <patternFill patternType="solid">
        <fgColor rgb="0017B890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8" fillId="4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165" fontId="13" fillId="4" borderId="1" applyAlignment="1" pivotButton="0" quotePrefix="0" xfId="0">
      <alignment horizontal="right" vertical="center"/>
    </xf>
    <xf numFmtId="166" fontId="13" fillId="4" borderId="1" applyAlignment="1" pivotButton="0" quotePrefix="0" xfId="0">
      <alignment horizontal="right" vertical="center"/>
    </xf>
    <xf numFmtId="164" fontId="13" fillId="4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right" vertical="center"/>
    </xf>
    <xf numFmtId="167" fontId="13" fillId="4" borderId="1" applyAlignment="1" pivotButton="0" quotePrefix="0" xfId="0">
      <alignment horizontal="right" vertical="center"/>
    </xf>
    <xf numFmtId="4" fontId="13" fillId="4" borderId="1" applyAlignment="1" pivotButton="0" quotePrefix="0" xfId="0">
      <alignment horizontal="right" vertical="center"/>
    </xf>
    <xf numFmtId="168" fontId="11" fillId="0" borderId="1" applyAlignment="1" pivotButton="0" quotePrefix="0" xfId="0">
      <alignment horizontal="right" vertical="center"/>
    </xf>
    <xf numFmtId="168" fontId="14" fillId="5" borderId="1" applyAlignment="1" pivotButton="0" quotePrefix="0" xfId="0">
      <alignment horizontal="right" vertical="center"/>
    </xf>
    <xf numFmtId="1" fontId="14" fillId="0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8" fontId="16" fillId="5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Selection composite score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17B890"/>
            </a:solidFill>
            <a:ln xmlns:a="http://schemas.openxmlformats.org/drawingml/2006/main">
              <a:prstDash val="solid"/>
            </a:ln>
          </spPr>
          <cat>
            <numRef>
              <f>'ETF Tracking'!$B$24:$B$29</f>
            </numRef>
          </cat>
          <val>
            <numRef>
              <f>'ETF Tracking'!$G$24:$G$29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Tracking error by ETF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E5A88"/>
            </a:solidFill>
            <a:ln xmlns:a="http://schemas.openxmlformats.org/drawingml/2006/main">
              <a:prstDash val="solid"/>
            </a:ln>
          </spPr>
          <cat>
            <numRef>
              <f>'ETF Tracking'!$B$9:$B$14</f>
            </numRef>
          </cat>
          <val>
            <numRef>
              <f>'ETF Tracking'!$H$9:$H$14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.0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14</col>
      <colOff>0</colOff>
      <row>8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23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60" customWidth="1" min="3" max="3"/>
    <col width="2" customWidth="1" min="4" max="4"/>
  </cols>
  <sheetData>
    <row r="2" ht="30" customHeight="1">
      <c r="B2" s="1" t="inlineStr">
        <is>
          <t>HELIOS WEALTH  ·  Sample Model</t>
        </is>
      </c>
    </row>
    <row r="3" ht="16" customHeight="1">
      <c r="B3" s="2" t="inlineStr">
        <is>
          <t>Illustrative ETF / fund analytics project. Prepared by Prajit Jawahar</t>
        </is>
      </c>
    </row>
    <row r="5" ht="30" customHeight="1">
      <c r="B5" s="3" t="inlineStr">
        <is>
          <t>Model</t>
        </is>
      </c>
      <c r="C5" s="4" t="inlineStr">
        <is>
          <t>31: ETF Tracking &amp; Product Due Diligence</t>
        </is>
      </c>
    </row>
    <row r="6" ht="75" customHeight="1">
      <c r="B6" s="3" t="inlineStr">
        <is>
          <t>Purpose</t>
        </is>
      </c>
      <c r="C6" s="4" t="inlineStr">
        <is>
          <t>Select the best ETF to track an index: compare funds on tracking difference and tracking error vs the index, total cost (TER), replication method and index structure, premium/discount to NAV and liquidity, then rank them with a weighted selection scorecard.</t>
        </is>
      </c>
    </row>
    <row r="7" ht="60" customHeight="1">
      <c r="B7" s="3" t="inlineStr">
        <is>
          <t>Techniques shown</t>
        </is>
      </c>
      <c r="C7" s="4" t="inlineStr">
        <is>
          <t>Tracking difference vs index · tracking error · TER / total cost of ownership · physical vs synthetic replication · NAV premium / discount · liquidity (spread, AUM) · weighted fund-selection scorecard.</t>
        </is>
      </c>
    </row>
    <row r="8" ht="45" customHeight="1">
      <c r="B8" s="3" t="inlineStr">
        <is>
          <t>How to use</t>
        </is>
      </c>
      <c r="C8" s="4" t="inlineStr">
        <is>
          <t>Update the blue fund data and the scorecard weights; tracking metrics, premium/discount and the recommended ETF recompute.</t>
        </is>
      </c>
    </row>
    <row r="9" ht="30" customHeight="1">
      <c r="B9" s="3" t="inlineStr">
        <is>
          <t>Currency / units</t>
        </is>
      </c>
      <c r="C9" s="4" t="inlineStr">
        <is>
          <t>See each sheet header for units.</t>
        </is>
      </c>
    </row>
    <row r="10" ht="30" customHeight="1">
      <c r="B10" s="3" t="inlineStr">
        <is>
          <t>Data</t>
        </is>
      </c>
      <c r="C10" s="4" t="inlineStr">
        <is>
          <t>Sample / illustrative figures; ETF names are fictional. Not investment advice.</t>
        </is>
      </c>
    </row>
    <row r="12">
      <c r="B12" s="5" t="inlineStr">
        <is>
          <t xml:space="preserve">  Blue text</t>
        </is>
      </c>
      <c r="C12" s="6" t="inlineStr">
        <is>
          <t>Hard-coded input / assumption you can change</t>
        </is>
      </c>
    </row>
    <row r="13">
      <c r="B13" s="7" t="inlineStr">
        <is>
          <t xml:space="preserve">  Black text</t>
        </is>
      </c>
      <c r="C13" s="6" t="inlineStr">
        <is>
          <t>Formula, recalculates automatically</t>
        </is>
      </c>
    </row>
    <row r="14">
      <c r="B14" s="8" t="inlineStr">
        <is>
          <t xml:space="preserve">  Yellow fill</t>
        </is>
      </c>
      <c r="C14" s="6" t="inlineStr">
        <is>
          <t>Cells intended for you to fill in</t>
        </is>
      </c>
    </row>
  </sheetData>
  <mergeCells count="2">
    <mergeCell ref="B2:C2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39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4" customWidth="1" min="4" max="4"/>
    <col width="9" customWidth="1" min="5" max="5"/>
    <col width="10" customWidth="1" min="6" max="6"/>
    <col width="11" customWidth="1" min="7" max="7"/>
    <col width="12" customWidth="1" min="8" max="8"/>
    <col width="11" customWidth="1" min="9" max="9"/>
    <col width="9" customWidth="1" min="10" max="10"/>
    <col width="10" customWidth="1" min="11" max="11"/>
    <col width="10" customWidth="1" min="12" max="12"/>
    <col width="10" customWidth="1" min="13" max="13"/>
    <col width="2" customWidth="1" min="14" max="14"/>
  </cols>
  <sheetData>
    <row r="2" ht="30" customHeight="1">
      <c r="B2" s="1" t="inlineStr">
        <is>
          <t>Global Developed Equity (MSCI World) — ETF Comparison</t>
        </is>
      </c>
    </row>
    <row r="3" ht="16" customHeight="1">
      <c r="B3" s="2" t="inlineStr">
        <is>
          <t>% and EUR. Blue = input. Same index, competing ETFs. Fictional funds.</t>
        </is>
      </c>
    </row>
    <row r="5">
      <c r="B5" s="9" t="inlineStr">
        <is>
          <t>Index 1Y total return (MSCI World)</t>
        </is>
      </c>
      <c r="C5" s="10" t="n">
        <v>0.18</v>
      </c>
    </row>
    <row r="7" ht="20" customHeight="1">
      <c r="B7" s="11" t="inlineStr">
        <is>
          <t>ETF universe &amp; tracking</t>
        </is>
      </c>
    </row>
    <row r="8" ht="28" customHeight="1">
      <c r="B8" s="12" t="inlineStr">
        <is>
          <t>ETF (fund)</t>
        </is>
      </c>
      <c r="C8" s="13" t="inlineStr">
        <is>
          <t>Replication</t>
        </is>
      </c>
      <c r="D8" s="13" t="inlineStr">
        <is>
          <t>TER</t>
        </is>
      </c>
      <c r="E8" s="13" t="inlineStr">
        <is>
          <t>AUM (EUR bn)</t>
        </is>
      </c>
      <c r="F8" s="13" t="inlineStr">
        <is>
          <t>1Y fund ret</t>
        </is>
      </c>
      <c r="G8" s="13" t="inlineStr">
        <is>
          <t>Tracking diff</t>
        </is>
      </c>
      <c r="H8" s="13" t="inlineStr">
        <is>
          <t>Tracking error</t>
        </is>
      </c>
      <c r="I8" s="13" t="inlineStr">
        <is>
          <t>Spread (bps)</t>
        </is>
      </c>
      <c r="J8" s="13" t="inlineStr">
        <is>
          <t>Price</t>
        </is>
      </c>
      <c r="K8" s="13" t="inlineStr">
        <is>
          <t>NAV</t>
        </is>
      </c>
      <c r="L8" s="13" t="inlineStr">
        <is>
          <t>Prem/disc</t>
        </is>
      </c>
    </row>
    <row r="9">
      <c r="B9" s="14" t="inlineStr">
        <is>
          <t>Alpha World Core</t>
        </is>
      </c>
      <c r="C9" s="15" t="inlineStr">
        <is>
          <t>Physical (full)</t>
        </is>
      </c>
      <c r="D9" s="16" t="n">
        <v>0.0012</v>
      </c>
      <c r="E9" s="17" t="n">
        <v>45</v>
      </c>
      <c r="F9" s="18" t="n">
        <v>0.1786</v>
      </c>
      <c r="G9" s="19">
        <f>F9-$C$5</f>
        <v/>
      </c>
      <c r="H9" s="16" t="n">
        <v>0.0005999999999999999</v>
      </c>
      <c r="I9" s="20" t="n">
        <v>3</v>
      </c>
      <c r="J9" s="21" t="n">
        <v>98.40000000000001</v>
      </c>
      <c r="K9" s="21" t="n">
        <v>98.34999999999999</v>
      </c>
      <c r="L9" s="19">
        <f>J9/K9-1</f>
        <v/>
      </c>
    </row>
    <row r="10">
      <c r="B10" s="14" t="inlineStr">
        <is>
          <t>Nord World</t>
        </is>
      </c>
      <c r="C10" s="15" t="inlineStr">
        <is>
          <t>Physical (sampled)</t>
        </is>
      </c>
      <c r="D10" s="16" t="n">
        <v>0.002</v>
      </c>
      <c r="E10" s="17" t="n">
        <v>28</v>
      </c>
      <c r="F10" s="18" t="n">
        <v>0.1775</v>
      </c>
      <c r="G10" s="19">
        <f>F10-$C$5</f>
        <v/>
      </c>
      <c r="H10" s="16" t="n">
        <v>0.0009</v>
      </c>
      <c r="I10" s="20" t="n">
        <v>5</v>
      </c>
      <c r="J10" s="21" t="n">
        <v>76.09999999999999</v>
      </c>
      <c r="K10" s="21" t="n">
        <v>76.02</v>
      </c>
      <c r="L10" s="19">
        <f>J10/K10-1</f>
        <v/>
      </c>
    </row>
    <row r="11">
      <c r="B11" s="14" t="inlineStr">
        <is>
          <t>Vertex World</t>
        </is>
      </c>
      <c r="C11" s="15" t="inlineStr">
        <is>
          <t>Synthetic (swap)</t>
        </is>
      </c>
      <c r="D11" s="16" t="n">
        <v>0.001</v>
      </c>
      <c r="E11" s="17" t="n">
        <v>12</v>
      </c>
      <c r="F11" s="18" t="n">
        <v>0.1795</v>
      </c>
      <c r="G11" s="19">
        <f>F11-$C$5</f>
        <v/>
      </c>
      <c r="H11" s="16" t="n">
        <v>0.0005</v>
      </c>
      <c r="I11" s="20" t="n">
        <v>6</v>
      </c>
      <c r="J11" s="21" t="n">
        <v>55.3</v>
      </c>
      <c r="K11" s="21" t="n">
        <v>55.35</v>
      </c>
      <c r="L11" s="19">
        <f>J11/K11-1</f>
        <v/>
      </c>
    </row>
    <row r="12">
      <c r="B12" s="14" t="inlineStr">
        <is>
          <t>Meridian World</t>
        </is>
      </c>
      <c r="C12" s="15" t="inlineStr">
        <is>
          <t>Physical (full)</t>
        </is>
      </c>
      <c r="D12" s="16" t="n">
        <v>0.0018</v>
      </c>
      <c r="E12" s="17" t="n">
        <v>60</v>
      </c>
      <c r="F12" s="18" t="n">
        <v>0.178</v>
      </c>
      <c r="G12" s="19">
        <f>F12-$C$5</f>
        <v/>
      </c>
      <c r="H12" s="16" t="n">
        <v>0.0007</v>
      </c>
      <c r="I12" s="20" t="n">
        <v>2</v>
      </c>
      <c r="J12" s="21" t="n">
        <v>104.2</v>
      </c>
      <c r="K12" s="21" t="n">
        <v>104.1</v>
      </c>
      <c r="L12" s="19">
        <f>J12/K12-1</f>
        <v/>
      </c>
    </row>
    <row r="13">
      <c r="B13" s="14" t="inlineStr">
        <is>
          <t>Orion World</t>
        </is>
      </c>
      <c r="C13" s="15" t="inlineStr">
        <is>
          <t>Physical (sampled)</t>
        </is>
      </c>
      <c r="D13" s="16" t="n">
        <v>0.0025</v>
      </c>
      <c r="E13" s="17" t="n">
        <v>8</v>
      </c>
      <c r="F13" s="18" t="n">
        <v>0.1766</v>
      </c>
      <c r="G13" s="19">
        <f>F13-$C$5</f>
        <v/>
      </c>
      <c r="H13" s="16" t="n">
        <v>0.0014</v>
      </c>
      <c r="I13" s="20" t="n">
        <v>9</v>
      </c>
      <c r="J13" s="21" t="n">
        <v>42.15</v>
      </c>
      <c r="K13" s="21" t="n">
        <v>42.3</v>
      </c>
      <c r="L13" s="19">
        <f>J13/K13-1</f>
        <v/>
      </c>
    </row>
    <row r="14">
      <c r="B14" s="14" t="inlineStr">
        <is>
          <t>Helios World Index</t>
        </is>
      </c>
      <c r="C14" s="15" t="inlineStr">
        <is>
          <t>Synthetic (swap)</t>
        </is>
      </c>
      <c r="D14" s="16" t="n">
        <v>0.0015</v>
      </c>
      <c r="E14" s="17" t="n">
        <v>20</v>
      </c>
      <c r="F14" s="18" t="n">
        <v>0.1788</v>
      </c>
      <c r="G14" s="19">
        <f>F14-$C$5</f>
        <v/>
      </c>
      <c r="H14" s="16" t="n">
        <v>0.0008</v>
      </c>
      <c r="I14" s="20" t="n">
        <v>4</v>
      </c>
      <c r="J14" s="21" t="n">
        <v>61.5</v>
      </c>
      <c r="K14" s="21" t="n">
        <v>61.44</v>
      </c>
      <c r="L14" s="19">
        <f>J14/K14-1</f>
        <v/>
      </c>
    </row>
    <row r="16" ht="20" customHeight="1">
      <c r="B16" s="11" t="inlineStr">
        <is>
          <t>Selection scorecard weights</t>
        </is>
      </c>
    </row>
    <row r="17">
      <c r="B17" s="9" t="inlineStr">
        <is>
          <t>Cost (TER) weight</t>
        </is>
      </c>
      <c r="C17" s="10" t="n">
        <v>0.3</v>
      </c>
    </row>
    <row r="18">
      <c r="B18" s="9" t="inlineStr">
        <is>
          <t>Tracking (error) weight</t>
        </is>
      </c>
      <c r="C18" s="10" t="n">
        <v>0.35</v>
      </c>
    </row>
    <row r="19">
      <c r="B19" s="9" t="inlineStr">
        <is>
          <t>Liquidity (spread) weight</t>
        </is>
      </c>
      <c r="C19" s="10" t="n">
        <v>0.2</v>
      </c>
    </row>
    <row r="20">
      <c r="B20" s="9" t="inlineStr">
        <is>
          <t>Size (AUM) weight</t>
        </is>
      </c>
      <c r="C20" s="10" t="n">
        <v>0.15</v>
      </c>
    </row>
    <row r="22" ht="20" customHeight="1">
      <c r="B22" s="11" t="inlineStr">
        <is>
          <t>Selection scorecard (0 = worst, 1 = best; min-max normalised)</t>
        </is>
      </c>
    </row>
    <row r="23" ht="28" customHeight="1">
      <c r="B23" s="12" t="inlineStr">
        <is>
          <t>ETF (fund)</t>
        </is>
      </c>
      <c r="C23" s="13" t="inlineStr">
        <is>
          <t>Cost score</t>
        </is>
      </c>
      <c r="D23" s="13" t="inlineStr">
        <is>
          <t>Tracking score</t>
        </is>
      </c>
      <c r="E23" s="13" t="inlineStr">
        <is>
          <t>Liquidity score</t>
        </is>
      </c>
      <c r="F23" s="13" t="inlineStr">
        <is>
          <t>Size score</t>
        </is>
      </c>
      <c r="G23" s="13" t="inlineStr">
        <is>
          <t>Composite</t>
        </is>
      </c>
      <c r="H23" s="13" t="inlineStr">
        <is>
          <t>Rank</t>
        </is>
      </c>
    </row>
    <row r="24">
      <c r="B24" s="14">
        <f>B9</f>
        <v/>
      </c>
      <c r="C24" s="22">
        <f>(MAX($D$9:$D$14)-D9)/(MAX($D$9:$D$14)-MIN($D$9:$D$14))</f>
        <v/>
      </c>
      <c r="D24" s="22">
        <f>(MAX($H$9:$H$14)-H9)/(MAX($H$9:$H$14)-MIN($H$9:$H$14))</f>
        <v/>
      </c>
      <c r="E24" s="22">
        <f>(MAX($I$9:$I$14)-I9)/(MAX($I$9:$I$14)-MIN($I$9:$I$14))</f>
        <v/>
      </c>
      <c r="F24" s="22">
        <f>(E9-MIN($E$9:$E$14))/(MAX($E$9:$E$14)-MIN($E$9:$E$14))</f>
        <v/>
      </c>
      <c r="G24" s="23">
        <f>C24*$C$17+D24*$C$18+E24*$C$19+F24*$C$20</f>
        <v/>
      </c>
      <c r="H24" s="24">
        <f>1+COUNTIF($G$24:$G$29,"&gt;"&amp;G24)</f>
        <v/>
      </c>
    </row>
    <row r="25">
      <c r="B25" s="14">
        <f>B10</f>
        <v/>
      </c>
      <c r="C25" s="22">
        <f>(MAX($D$9:$D$14)-D10)/(MAX($D$9:$D$14)-MIN($D$9:$D$14))</f>
        <v/>
      </c>
      <c r="D25" s="22">
        <f>(MAX($H$9:$H$14)-H10)/(MAX($H$9:$H$14)-MIN($H$9:$H$14))</f>
        <v/>
      </c>
      <c r="E25" s="22">
        <f>(MAX($I$9:$I$14)-I10)/(MAX($I$9:$I$14)-MIN($I$9:$I$14))</f>
        <v/>
      </c>
      <c r="F25" s="22">
        <f>(E10-MIN($E$9:$E$14))/(MAX($E$9:$E$14)-MIN($E$9:$E$14))</f>
        <v/>
      </c>
      <c r="G25" s="23">
        <f>C25*$C$17+D25*$C$18+E25*$C$19+F25*$C$20</f>
        <v/>
      </c>
      <c r="H25" s="24">
        <f>1+COUNTIF($G$24:$G$29,"&gt;"&amp;G25)</f>
        <v/>
      </c>
    </row>
    <row r="26">
      <c r="B26" s="14">
        <f>B11</f>
        <v/>
      </c>
      <c r="C26" s="22">
        <f>(MAX($D$9:$D$14)-D11)/(MAX($D$9:$D$14)-MIN($D$9:$D$14))</f>
        <v/>
      </c>
      <c r="D26" s="22">
        <f>(MAX($H$9:$H$14)-H11)/(MAX($H$9:$H$14)-MIN($H$9:$H$14))</f>
        <v/>
      </c>
      <c r="E26" s="22">
        <f>(MAX($I$9:$I$14)-I11)/(MAX($I$9:$I$14)-MIN($I$9:$I$14))</f>
        <v/>
      </c>
      <c r="F26" s="22">
        <f>(E11-MIN($E$9:$E$14))/(MAX($E$9:$E$14)-MIN($E$9:$E$14))</f>
        <v/>
      </c>
      <c r="G26" s="23">
        <f>C26*$C$17+D26*$C$18+E26*$C$19+F26*$C$20</f>
        <v/>
      </c>
      <c r="H26" s="24">
        <f>1+COUNTIF($G$24:$G$29,"&gt;"&amp;G26)</f>
        <v/>
      </c>
    </row>
    <row r="27">
      <c r="B27" s="14">
        <f>B12</f>
        <v/>
      </c>
      <c r="C27" s="22">
        <f>(MAX($D$9:$D$14)-D12)/(MAX($D$9:$D$14)-MIN($D$9:$D$14))</f>
        <v/>
      </c>
      <c r="D27" s="22">
        <f>(MAX($H$9:$H$14)-H12)/(MAX($H$9:$H$14)-MIN($H$9:$H$14))</f>
        <v/>
      </c>
      <c r="E27" s="22">
        <f>(MAX($I$9:$I$14)-I12)/(MAX($I$9:$I$14)-MIN($I$9:$I$14))</f>
        <v/>
      </c>
      <c r="F27" s="22">
        <f>(E12-MIN($E$9:$E$14))/(MAX($E$9:$E$14)-MIN($E$9:$E$14))</f>
        <v/>
      </c>
      <c r="G27" s="23">
        <f>C27*$C$17+D27*$C$18+E27*$C$19+F27*$C$20</f>
        <v/>
      </c>
      <c r="H27" s="24">
        <f>1+COUNTIF($G$24:$G$29,"&gt;"&amp;G27)</f>
        <v/>
      </c>
    </row>
    <row r="28">
      <c r="B28" s="14">
        <f>B13</f>
        <v/>
      </c>
      <c r="C28" s="22">
        <f>(MAX($D$9:$D$14)-D13)/(MAX($D$9:$D$14)-MIN($D$9:$D$14))</f>
        <v/>
      </c>
      <c r="D28" s="22">
        <f>(MAX($H$9:$H$14)-H13)/(MAX($H$9:$H$14)-MIN($H$9:$H$14))</f>
        <v/>
      </c>
      <c r="E28" s="22">
        <f>(MAX($I$9:$I$14)-I13)/(MAX($I$9:$I$14)-MIN($I$9:$I$14))</f>
        <v/>
      </c>
      <c r="F28" s="22">
        <f>(E13-MIN($E$9:$E$14))/(MAX($E$9:$E$14)-MIN($E$9:$E$14))</f>
        <v/>
      </c>
      <c r="G28" s="23">
        <f>C28*$C$17+D28*$C$18+E28*$C$19+F28*$C$20</f>
        <v/>
      </c>
      <c r="H28" s="24">
        <f>1+COUNTIF($G$24:$G$29,"&gt;"&amp;G28)</f>
        <v/>
      </c>
    </row>
    <row r="29">
      <c r="B29" s="14">
        <f>B14</f>
        <v/>
      </c>
      <c r="C29" s="22">
        <f>(MAX($D$9:$D$14)-D14)/(MAX($D$9:$D$14)-MIN($D$9:$D$14))</f>
        <v/>
      </c>
      <c r="D29" s="22">
        <f>(MAX($H$9:$H$14)-H14)/(MAX($H$9:$H$14)-MIN($H$9:$H$14))</f>
        <v/>
      </c>
      <c r="E29" s="22">
        <f>(MAX($I$9:$I$14)-I14)/(MAX($I$9:$I$14)-MIN($I$9:$I$14))</f>
        <v/>
      </c>
      <c r="F29" s="22">
        <f>(E14-MIN($E$9:$E$14))/(MAX($E$9:$E$14)-MIN($E$9:$E$14))</f>
        <v/>
      </c>
      <c r="G29" s="23">
        <f>C29*$C$17+D29*$C$18+E29*$C$19+F29*$C$20</f>
        <v/>
      </c>
      <c r="H29" s="24">
        <f>1+COUNTIF($G$24:$G$29,"&gt;"&amp;G29)</f>
        <v/>
      </c>
    </row>
    <row r="31" ht="20" customHeight="1">
      <c r="B31" s="11" t="inlineStr">
        <is>
          <t>Recommendation</t>
        </is>
      </c>
    </row>
    <row r="32">
      <c r="B32" s="25" t="inlineStr">
        <is>
          <t>Recommended ETF</t>
        </is>
      </c>
      <c r="C32" s="26">
        <f>INDEX(B24:B29,MATCH(MAX(G24:G29),G24:G29,0))</f>
        <v/>
      </c>
    </row>
    <row r="33">
      <c r="B33" s="27" t="inlineStr">
        <is>
          <t>Its composite score</t>
        </is>
      </c>
      <c r="C33" s="28">
        <f>MAX(G24:G29)</f>
        <v/>
      </c>
    </row>
    <row r="34">
      <c r="B34" s="9" t="inlineStr">
        <is>
          <t>Its tracking difference</t>
        </is>
      </c>
      <c r="C34" s="29">
        <f>INDEX(G9:G14,MATCH(MAX(G24:G29),G24:G29,0))</f>
        <v/>
      </c>
    </row>
    <row r="36" ht="20" customHeight="1">
      <c r="B36" s="11" t="inlineStr">
        <is>
          <t>Key insights (auto-generated)</t>
        </is>
      </c>
    </row>
    <row r="37" ht="26" customHeight="1">
      <c r="B37" s="30">
        <f>"On a blended score of cost, tracking, liquidity and size, "&amp;C32&amp;" ranks first (score "&amp;TEXT(C33,"0.00")&amp;"), tracking the index to within "&amp;TEXT(-C34,"0.00%")&amp;"."</f>
        <v/>
      </c>
    </row>
    <row r="38" ht="26" customHeight="1">
      <c r="B38" s="30">
        <f>"Well-run funds track to roughly minus their TER; the synthetic (swap) funds show the tightest tracking here, while the high-cost sampled fund lags most."</f>
        <v/>
      </c>
    </row>
    <row r="39" ht="26" customHeight="1">
      <c r="B39" s="30">
        <f>"Premium / discount to NAV is small across the board, so intraday pricing is fair; liquidity (spread and AUM) still separates the large physical funds from the smaller ones."</f>
        <v/>
      </c>
    </row>
  </sheetData>
  <mergeCells count="10">
    <mergeCell ref="B2:M2"/>
    <mergeCell ref="B3:M3"/>
    <mergeCell ref="B7:M7"/>
    <mergeCell ref="B16:E16"/>
    <mergeCell ref="B22:H22"/>
    <mergeCell ref="B31:D31"/>
    <mergeCell ref="B36:M36"/>
    <mergeCell ref="B37:M37"/>
    <mergeCell ref="B38:M38"/>
    <mergeCell ref="B39:M3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2026-09-30T21:21:55Z</dcterms:created>
  <dcterms:modified xmlns:dcterms="http://purl.org/dc/terms/" xmlns:xsi="http://www.w3.org/2001/XMLSchema-instance" xsi:type="dcterms:W3CDTF">2026-09-30T21:21:55Z</dcterms:modified>
</cp:coreProperties>
</file>