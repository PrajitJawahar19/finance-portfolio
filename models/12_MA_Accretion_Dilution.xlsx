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cretion-Di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&quot;-&quot;"/>
    <numFmt numFmtId="165" formatCode="€ #,##0.00"/>
    <numFmt numFmtId="166" formatCode="0.0%;(0.0%);&quot;-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222222"/>
      <sz val="10"/>
    </font>
    <font>
      <name val="Arial"/>
      <b val="1"/>
      <color rgb="00FFFFFF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11" fillId="5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166" fontId="12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12: M&amp;A Accretion / Dilution Analysis</t>
        </is>
      </c>
    </row>
    <row r="6" ht="60" customHeight="1">
      <c r="B6" s="3" t="inlineStr">
        <is>
          <t>Purpose</t>
        </is>
      </c>
      <c r="C6" s="4" t="inlineStr">
        <is>
          <t>Test whether an acquisition adds to or dilutes the acquirer's earnings per share: fund the deal with a cash/stock mix, layer in synergies and financing costs, and compare pro-forma EPS to standalone.</t>
        </is>
      </c>
    </row>
    <row r="7" ht="45" customHeight="1">
      <c r="B7" s="3" t="inlineStr">
        <is>
          <t>Techniques shown</t>
        </is>
      </c>
      <c r="C7" s="4" t="inlineStr">
        <is>
          <t>Offer structure (cash/stock) · new shares issued · after-tax financing cost · synergies · pro-forma EPS · accretion / dilution %.</t>
        </is>
      </c>
    </row>
    <row r="8" ht="45" customHeight="1">
      <c r="B8" s="3" t="inlineStr">
        <is>
          <t>How to use</t>
        </is>
      </c>
      <c r="C8" s="4" t="inlineStr">
        <is>
          <t>Change the blue offer premium, cash/stock split, synergies or financing rate; the pro-forma EPS and accretion/dilution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2" customWidth="1" min="4" max="4"/>
  </cols>
  <sheetData>
    <row r="2" ht="30" customHeight="1">
      <c r="B2" s="1" t="inlineStr">
        <is>
          <t>M&amp;A Accretion / Dilution</t>
        </is>
      </c>
    </row>
    <row r="3" ht="16" customHeight="1">
      <c r="B3" s="2" t="inlineStr">
        <is>
          <t>€M and per-share (€). Blue = input.</t>
        </is>
      </c>
    </row>
    <row r="5" ht="20" customHeight="1">
      <c r="B5" s="11" t="inlineStr">
        <is>
          <t>Acquirer (Helios)</t>
        </is>
      </c>
    </row>
    <row r="6">
      <c r="B6" s="12" t="inlineStr">
        <is>
          <t>Net income (€M)</t>
        </is>
      </c>
      <c r="C6" s="13" t="n">
        <v>3.7</v>
      </c>
    </row>
    <row r="7">
      <c r="B7" s="12" t="inlineStr">
        <is>
          <t>Shares outstanding (M)</t>
        </is>
      </c>
      <c r="C7" s="13" t="n">
        <v>3</v>
      </c>
    </row>
    <row r="8">
      <c r="B8" s="14" t="inlineStr">
        <is>
          <t>EPS (€)</t>
        </is>
      </c>
      <c r="C8" s="15">
        <f>C6/C7</f>
        <v/>
      </c>
    </row>
    <row r="9">
      <c r="B9" s="12" t="inlineStr">
        <is>
          <t>Share price (€)</t>
        </is>
      </c>
      <c r="C9" s="16" t="n">
        <v>18</v>
      </c>
    </row>
    <row r="11" ht="20" customHeight="1">
      <c r="B11" s="11" t="inlineStr">
        <is>
          <t>Target</t>
        </is>
      </c>
    </row>
    <row r="12">
      <c r="B12" s="12" t="inlineStr">
        <is>
          <t>Net income (€M)</t>
        </is>
      </c>
      <c r="C12" s="13" t="n">
        <v>1.6</v>
      </c>
    </row>
    <row r="13">
      <c r="B13" s="12" t="inlineStr">
        <is>
          <t>Equity value, standalone (€M)</t>
        </is>
      </c>
      <c r="C13" s="13" t="n">
        <v>22</v>
      </c>
    </row>
    <row r="14">
      <c r="B14" s="12" t="inlineStr">
        <is>
          <t>Offer premium</t>
        </is>
      </c>
      <c r="C14" s="17" t="n">
        <v>0.25</v>
      </c>
    </row>
    <row r="15">
      <c r="B15" s="14" t="inlineStr">
        <is>
          <t>Offer value (€M)</t>
        </is>
      </c>
      <c r="C15" s="18">
        <f>C13*(1+C14)</f>
        <v/>
      </c>
    </row>
    <row r="17" ht="20" customHeight="1">
      <c r="B17" s="11" t="inlineStr">
        <is>
          <t>Deal structure</t>
        </is>
      </c>
    </row>
    <row r="18">
      <c r="B18" s="12" t="inlineStr">
        <is>
          <t>% funded with cash / new debt</t>
        </is>
      </c>
      <c r="C18" s="17" t="n">
        <v>0.5</v>
      </c>
    </row>
    <row r="19">
      <c r="B19" s="12" t="inlineStr">
        <is>
          <t>% funded with stock</t>
        </is>
      </c>
      <c r="C19" s="19">
        <f>1-C18</f>
        <v/>
      </c>
    </row>
    <row r="20">
      <c r="B20" s="12" t="inlineStr">
        <is>
          <t>Interest rate on new debt</t>
        </is>
      </c>
      <c r="C20" s="17" t="n">
        <v>0.05</v>
      </c>
    </row>
    <row r="21">
      <c r="B21" s="12" t="inlineStr">
        <is>
          <t>Pre-tax run-rate synergies (€M)</t>
        </is>
      </c>
      <c r="C21" s="13" t="n">
        <v>0.9</v>
      </c>
    </row>
    <row r="22">
      <c r="B22" s="12" t="inlineStr">
        <is>
          <t>Tax rate</t>
        </is>
      </c>
      <c r="C22" s="17" t="n">
        <v>0.3</v>
      </c>
    </row>
    <row r="24" ht="20" customHeight="1">
      <c r="B24" s="11" t="inlineStr">
        <is>
          <t>Pro-forma results</t>
        </is>
      </c>
    </row>
    <row r="25">
      <c r="B25" s="12" t="inlineStr">
        <is>
          <t>New debt raised (€M)</t>
        </is>
      </c>
      <c r="C25" s="20">
        <f>C15*C18</f>
        <v/>
      </c>
    </row>
    <row r="26">
      <c r="B26" s="12" t="inlineStr">
        <is>
          <t>New equity issued (€M)</t>
        </is>
      </c>
      <c r="C26" s="20">
        <f>C15*C19</f>
        <v/>
      </c>
    </row>
    <row r="27">
      <c r="B27" s="12" t="inlineStr">
        <is>
          <t>New shares issued (M)</t>
        </is>
      </c>
      <c r="C27" s="20">
        <f>C26/C9</f>
        <v/>
      </c>
    </row>
    <row r="28">
      <c r="B28" s="12" t="inlineStr">
        <is>
          <t>After-tax interest cost (€M)</t>
        </is>
      </c>
      <c r="C28" s="20">
        <f>-C25*C20*(1-C22)</f>
        <v/>
      </c>
    </row>
    <row r="29">
      <c r="B29" s="12" t="inlineStr">
        <is>
          <t>After-tax synergies (€M)</t>
        </is>
      </c>
      <c r="C29" s="20">
        <f>C21*(1-C22)</f>
        <v/>
      </c>
    </row>
    <row r="30">
      <c r="B30" s="14" t="inlineStr">
        <is>
          <t>Pro-forma net income (€M)</t>
        </is>
      </c>
      <c r="C30" s="18">
        <f>C6+C12+C28+C29</f>
        <v/>
      </c>
    </row>
    <row r="31">
      <c r="B31" s="14" t="inlineStr">
        <is>
          <t>Pro-forma shares (M)</t>
        </is>
      </c>
      <c r="C31" s="18">
        <f>C7+C27</f>
        <v/>
      </c>
    </row>
    <row r="32">
      <c r="B32" s="14" t="inlineStr">
        <is>
          <t>Pro-forma EPS (€)</t>
        </is>
      </c>
      <c r="C32" s="15">
        <f>C30/C31</f>
        <v/>
      </c>
    </row>
    <row r="33">
      <c r="B33" s="21" t="inlineStr">
        <is>
          <t>Accretion / (dilution) %</t>
        </is>
      </c>
      <c r="C33" s="22">
        <f>C32/C8-1</f>
        <v/>
      </c>
    </row>
    <row r="34">
      <c r="B34" s="14" t="inlineStr">
        <is>
          <t>Verdict</t>
        </is>
      </c>
      <c r="C34" s="23">
        <f>IF(C32&gt;=C8,"ACCRETIVE","DILUTIVE")</f>
        <v/>
      </c>
    </row>
    <row r="36" ht="20" customHeight="1">
      <c r="B36" s="11" t="inlineStr">
        <is>
          <t>Key insight (auto-generated)</t>
        </is>
      </c>
    </row>
    <row r="37" ht="54" customHeight="1">
      <c r="B37" s="24">
        <f>"Standalone EPS of €"&amp;TEXT(C8,"0.00")&amp;" moves to a pro-forma €"&amp;TEXT(C32,"0.00")&amp;", a "&amp;TEXT(C33,"+0.0%;-0.0%")&amp;" move: the deal is "&amp;C34&amp;", helped by €"&amp;TEXT(C29,"0.0")&amp;"M of after-tax synergies."</f>
        <v/>
      </c>
    </row>
  </sheetData>
  <mergeCells count="8">
    <mergeCell ref="B2:C2"/>
    <mergeCell ref="B3:C3"/>
    <mergeCell ref="B5:C5"/>
    <mergeCell ref="B11:C11"/>
    <mergeCell ref="B17:C17"/>
    <mergeCell ref="B24:C24"/>
    <mergeCell ref="B36:C36"/>
    <mergeCell ref="B37:C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2026-09-07T20:54:14Z</dcterms:created>
  <dcterms:modified xmlns:dcterms="http://purl.org/dc/terms/" xmlns:xsi="http://www.w3.org/2001/XMLSchema-instance" xsi:type="dcterms:W3CDTF">2026-09-07T20:54:14Z</dcterms:modified>
</cp:coreProperties>
</file>