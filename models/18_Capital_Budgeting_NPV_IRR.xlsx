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pital Budge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;(0.0%);&quot;-&quot;"/>
    <numFmt numFmtId="166" formatCode="0.000"/>
    <numFmt numFmtId="167" formatCode="0.0&quot;x&quot;"/>
    <numFmt numFmtId="168" formatCode="0.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8000"/>
      <sz val="9"/>
    </font>
    <font>
      <name val="Arial"/>
      <b val="1"/>
      <color rgb="001F3A5F"/>
      <sz val="11"/>
    </font>
    <font>
      <name val="Arial"/>
      <b val="1"/>
      <color rgb="000000FF"/>
      <sz val="10"/>
    </font>
    <font>
      <name val="Arial"/>
      <b val="1"/>
      <color rgb="00FFFFFF"/>
      <sz val="9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222222"/>
      <sz val="10"/>
    </font>
    <font>
      <name val="Arial"/>
      <b val="1"/>
      <color rgb="00FFFFFF"/>
      <sz val="10"/>
    </font>
    <font>
      <name val="Arial"/>
      <color rgb="00333333"/>
      <sz val="9.5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EAF0F6"/>
      </patternFill>
    </fill>
    <fill>
      <patternFill patternType="solid">
        <fgColor rgb="0017B890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10" fillId="4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64" fontId="12" fillId="0" borderId="1" applyAlignment="1" pivotButton="0" quotePrefix="0" xfId="0">
      <alignment horizontal="right" vertical="center"/>
    </xf>
    <xf numFmtId="164" fontId="13" fillId="4" borderId="1" applyAlignment="1" pivotButton="0" quotePrefix="0" xfId="0">
      <alignment horizontal="right" vertical="center"/>
    </xf>
    <xf numFmtId="166" fontId="1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4" fontId="14" fillId="5" borderId="1" applyAlignment="1" pivotButton="0" quotePrefix="0" xfId="0">
      <alignment horizontal="right" vertical="center"/>
    </xf>
    <xf numFmtId="165" fontId="14" fillId="5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0" fontId="15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PV of cash flows by year (€000)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E5A88"/>
            </a:solidFill>
            <a:ln xmlns:a="http://schemas.openxmlformats.org/drawingml/2006/main">
              <a:prstDash val="solid"/>
            </a:ln>
          </spPr>
          <cat>
            <numRef>
              <f>'Capital Budgeting'!$C$10:$H$10</f>
            </numRef>
          </cat>
          <val>
            <numRef>
              <f>'Capital Budgeting'!$C$13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'Capital Budgeting'!$C$10:$H$10</f>
            </numRef>
          </cat>
          <val>
            <numRef>
              <f>'Capital Budgeting'!$D$13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'Capital Budgeting'!$C$10:$H$10</f>
            </numRef>
          </cat>
          <val>
            <numRef>
              <f>'Capital Budgeting'!$E$13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'Capital Budgeting'!$C$10:$H$10</f>
            </numRef>
          </cat>
          <val>
            <numRef>
              <f>'Capital Budgeting'!$F$13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'Capital Budgeting'!$C$10:$H$10</f>
            </numRef>
          </cat>
          <val>
            <numRef>
              <f>'Capital Budgeting'!$G$13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'Capital Budgeting'!$C$10:$H$10</f>
            </numRef>
          </cat>
          <val>
            <numRef>
              <f>'Capital Budgeting'!$H$13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CONSUMER GmbH  ·  Sample Model</t>
        </is>
      </c>
    </row>
    <row r="3" ht="16" customHeight="1">
      <c r="B3" s="2" t="inlineStr">
        <is>
          <t>Illustrative portfolio project. Prepared by Prajit Jawahar</t>
        </is>
      </c>
    </row>
    <row r="5" ht="30" customHeight="1">
      <c r="B5" s="3" t="inlineStr">
        <is>
          <t>Model</t>
        </is>
      </c>
      <c r="C5" s="4" t="inlineStr">
        <is>
          <t>18: Capital Budgeting — NPV, IRR &amp; Payback</t>
        </is>
      </c>
    </row>
    <row r="6" ht="60" customHeight="1">
      <c r="B6" s="3" t="inlineStr">
        <is>
          <t>Purpose</t>
        </is>
      </c>
      <c r="C6" s="4" t="inlineStr">
        <is>
          <t>Appraise a capital project: discount its cash flows to a net present value, solve for the internal rate of return, and compute payback, discounted payback and the profitability index.</t>
        </is>
      </c>
    </row>
    <row r="7" ht="30" customHeight="1">
      <c r="B7" s="3" t="inlineStr">
        <is>
          <t>Techniques shown</t>
        </is>
      </c>
      <c r="C7" s="4" t="inlineStr">
        <is>
          <t>Discounted cash flows · NPV · IRR · payback &amp; discounted payback · profitability index · accept/reject rule.</t>
        </is>
      </c>
    </row>
    <row r="8" ht="30" customHeight="1">
      <c r="B8" s="3" t="inlineStr">
        <is>
          <t>How to use</t>
        </is>
      </c>
      <c r="C8" s="4" t="inlineStr">
        <is>
          <t>Change the blue investment, annual cash flows or discount rate; NPV, IRR, payback and the decision update.</t>
        </is>
      </c>
    </row>
    <row r="9" ht="30" customHeight="1">
      <c r="B9" s="3" t="inlineStr">
        <is>
          <t>Currency / units</t>
        </is>
      </c>
      <c r="C9" s="4" t="inlineStr">
        <is>
          <t>See each sheet header for units.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>Colour key</t>
        </is>
      </c>
    </row>
    <row r="13">
      <c r="B13" s="6" t="inlineStr">
        <is>
          <t xml:space="preserve">  Blue text</t>
        </is>
      </c>
      <c r="C13" s="7" t="inlineStr">
        <is>
          <t>Hard-coded input / assumption you can change</t>
        </is>
      </c>
    </row>
    <row r="14">
      <c r="B14" s="8" t="inlineStr">
        <is>
          <t xml:space="preserve">  Black text</t>
        </is>
      </c>
      <c r="C14" s="7" t="inlineStr">
        <is>
          <t>Formula, recalculates automatically</t>
        </is>
      </c>
    </row>
    <row r="15">
      <c r="B15" s="9" t="inlineStr">
        <is>
          <t xml:space="preserve">  Green text</t>
        </is>
      </c>
      <c r="C15" s="7" t="inlineStr">
        <is>
          <t>Links to another sheet</t>
        </is>
      </c>
    </row>
    <row r="16">
      <c r="B16" s="10" t="inlineStr">
        <is>
          <t xml:space="preserve">  Yellow fill</t>
        </is>
      </c>
      <c r="C16" s="7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" customWidth="1" min="9" max="9"/>
  </cols>
  <sheetData>
    <row r="2" ht="30" customHeight="1">
      <c r="B2" s="1" t="inlineStr">
        <is>
          <t>Capital Budgeting — Project Appraisal</t>
        </is>
      </c>
    </row>
    <row r="3" ht="16" customHeight="1">
      <c r="B3" s="2" t="inlineStr">
        <is>
          <t>€000. Blue = input.</t>
        </is>
      </c>
    </row>
    <row r="5" ht="20" customHeight="1">
      <c r="B5" s="11" t="inlineStr">
        <is>
          <t>Assumptions</t>
        </is>
      </c>
    </row>
    <row r="6">
      <c r="B6" s="12" t="inlineStr">
        <is>
          <t>Initial investment (€000)</t>
        </is>
      </c>
      <c r="C6" s="13" t="n">
        <v>2400</v>
      </c>
    </row>
    <row r="7">
      <c r="B7" s="12" t="inlineStr">
        <is>
          <t>Discount rate (WACC)</t>
        </is>
      </c>
      <c r="C7" s="14" t="n">
        <v>0.1</v>
      </c>
    </row>
    <row r="9" ht="20" customHeight="1">
      <c r="B9" s="11" t="inlineStr">
        <is>
          <t>Cash flows (€000)</t>
        </is>
      </c>
    </row>
    <row r="10">
      <c r="B10" s="15" t="inlineStr">
        <is>
          <t>€000</t>
        </is>
      </c>
      <c r="C10" s="16" t="inlineStr">
        <is>
          <t>Year 0</t>
        </is>
      </c>
      <c r="D10" s="16" t="inlineStr">
        <is>
          <t>Year 1</t>
        </is>
      </c>
      <c r="E10" s="16" t="inlineStr">
        <is>
          <t>Year 2</t>
        </is>
      </c>
      <c r="F10" s="16" t="inlineStr">
        <is>
          <t>Year 3</t>
        </is>
      </c>
      <c r="G10" s="16" t="inlineStr">
        <is>
          <t>Year 4</t>
        </is>
      </c>
      <c r="H10" s="16" t="inlineStr">
        <is>
          <t>Year 5</t>
        </is>
      </c>
    </row>
    <row r="11">
      <c r="B11" s="17" t="inlineStr">
        <is>
          <t>Net cash flow</t>
        </is>
      </c>
      <c r="C11" s="18">
        <f>-C6</f>
        <v/>
      </c>
      <c r="D11" s="19" t="n">
        <v>620</v>
      </c>
      <c r="E11" s="19" t="n">
        <v>760</v>
      </c>
      <c r="F11" s="19" t="n">
        <v>900</v>
      </c>
      <c r="G11" s="19" t="n">
        <v>980</v>
      </c>
      <c r="H11" s="19" t="n">
        <v>1050</v>
      </c>
    </row>
    <row r="12">
      <c r="B12" s="17" t="inlineStr">
        <is>
          <t>Discount factor</t>
        </is>
      </c>
      <c r="C12" s="20">
        <f>1/POWER(1+$C$7,0)</f>
        <v/>
      </c>
      <c r="D12" s="20">
        <f>1/POWER(1+$C$7,1)</f>
        <v/>
      </c>
      <c r="E12" s="20">
        <f>1/POWER(1+$C$7,2)</f>
        <v/>
      </c>
      <c r="F12" s="20">
        <f>1/POWER(1+$C$7,3)</f>
        <v/>
      </c>
      <c r="G12" s="20">
        <f>1/POWER(1+$C$7,4)</f>
        <v/>
      </c>
      <c r="H12" s="20">
        <f>1/POWER(1+$C$7,5)</f>
        <v/>
      </c>
    </row>
    <row r="13">
      <c r="B13" s="17" t="inlineStr">
        <is>
          <t>PV of cash flow</t>
        </is>
      </c>
      <c r="C13" s="18">
        <f>C11*C12</f>
        <v/>
      </c>
      <c r="D13" s="18">
        <f>D11*D12</f>
        <v/>
      </c>
      <c r="E13" s="18">
        <f>E11*E12</f>
        <v/>
      </c>
      <c r="F13" s="18">
        <f>F11*F12</f>
        <v/>
      </c>
      <c r="G13" s="18">
        <f>G11*G12</f>
        <v/>
      </c>
      <c r="H13" s="18">
        <f>H11*H12</f>
        <v/>
      </c>
    </row>
    <row r="14">
      <c r="B14" s="17" t="inlineStr">
        <is>
          <t>Cumulative cash flow</t>
        </is>
      </c>
      <c r="C14" s="18">
        <f>C11</f>
        <v/>
      </c>
      <c r="D14" s="18">
        <f>C14+D11</f>
        <v/>
      </c>
      <c r="E14" s="18">
        <f>D14+E11</f>
        <v/>
      </c>
      <c r="F14" s="18">
        <f>E14+F11</f>
        <v/>
      </c>
      <c r="G14" s="18">
        <f>F14+G11</f>
        <v/>
      </c>
      <c r="H14" s="18">
        <f>G14+H11</f>
        <v/>
      </c>
    </row>
    <row r="16" ht="20" customHeight="1">
      <c r="B16" s="11" t="inlineStr">
        <is>
          <t>Decision metrics</t>
        </is>
      </c>
    </row>
    <row r="17">
      <c r="B17" s="21" t="inlineStr">
        <is>
          <t>NPV (€000)</t>
        </is>
      </c>
      <c r="C17" s="22">
        <f>SUM(C13:H13)</f>
        <v/>
      </c>
    </row>
    <row r="18">
      <c r="B18" s="21" t="inlineStr">
        <is>
          <t>IRR</t>
        </is>
      </c>
      <c r="C18" s="23">
        <f>IRR(C11:H11)</f>
        <v/>
      </c>
    </row>
    <row r="19">
      <c r="B19" s="12" t="inlineStr">
        <is>
          <t>Profitability index</t>
        </is>
      </c>
      <c r="C19" s="24">
        <f>SUM(D13:H13)/C6</f>
        <v/>
      </c>
    </row>
    <row r="20">
      <c r="B20" s="12" t="inlineStr">
        <is>
          <t>Payback (years, approx)</t>
        </is>
      </c>
      <c r="C20" s="25">
        <f>COUNTIF(C14:H14,"&lt;0")-1+ABS(INDEX(C14:H14,COUNTIF(C14:H14,"&lt;0")))/INDEX(C11:H11,COUNTIF(C14:H14,"&lt;0")+1)</f>
        <v/>
      </c>
    </row>
    <row r="21">
      <c r="B21" s="26" t="inlineStr">
        <is>
          <t>Decision (NPV &gt; 0)</t>
        </is>
      </c>
      <c r="C21" s="27">
        <f>IF(C17&gt;0,"ACCEPT","REJECT")</f>
        <v/>
      </c>
    </row>
    <row r="38" ht="20" customHeight="1">
      <c r="B38" s="11" t="inlineStr">
        <is>
          <t>Key insight (auto-generated)</t>
        </is>
      </c>
    </row>
    <row r="39" ht="26" customHeight="1">
      <c r="B39" s="28">
        <f>"At a "&amp;TEXT(C7,"0.0%")&amp;" discount rate the project returns an NPV of €"&amp;TEXT(C17,"#,##0")&amp;"k and an IRR of "&amp;TEXT(C18,"0.0%")&amp;": "&amp;C21&amp;"."</f>
        <v/>
      </c>
    </row>
  </sheetData>
  <mergeCells count="7">
    <mergeCell ref="B2:H2"/>
    <mergeCell ref="B3:H3"/>
    <mergeCell ref="B5:C5"/>
    <mergeCell ref="B9:H9"/>
    <mergeCell ref="B16:C16"/>
    <mergeCell ref="B38:H38"/>
    <mergeCell ref="B39:H3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2026-09-07T20:59:42Z</dcterms:created>
  <dcterms:modified xmlns:dcterms="http://purl.org/dc/terms/" xmlns:xsi="http://www.w3.org/2001/XMLSchema-instance" xsi:type="dcterms:W3CDTF">2026-09-07T20:59:42Z</dcterms:modified>
</cp:coreProperties>
</file>