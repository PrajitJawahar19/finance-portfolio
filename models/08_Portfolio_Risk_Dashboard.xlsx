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&quot;-&quot;"/>
    <numFmt numFmtId="165" formatCode="0.0000"/>
    <numFmt numFmtId="166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1F3A5F"/>
      <sz val="11"/>
    </font>
    <font>
      <name val="Arial"/>
      <b val="1"/>
      <color rgb="00FFFFFF"/>
      <sz val="8"/>
    </font>
    <font>
      <name val="Arial"/>
      <color rgb="000000FF"/>
      <sz val="9"/>
    </font>
    <font>
      <name val="Arial"/>
      <color rgb="00000000"/>
      <sz val="8"/>
    </font>
    <font>
      <name val="Arial"/>
      <b val="1"/>
      <color rgb="00FFFFFF"/>
      <sz val="11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17B890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164" fontId="11" fillId="4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164" fontId="12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vertical="center"/>
    </xf>
    <xf numFmtId="0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/>
    </xf>
    <xf numFmtId="2" fontId="15" fillId="4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64" fontId="17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5" fontId="13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2" fontId="13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Asset allocation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'Portfolio'!$B$6:$B$10</f>
            </numRef>
          </cat>
          <val>
            <numRef>
              <f>'Portfolio'!$C$6:$C$10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Growth of €100,000 (index)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'Portfolio'!D38</f>
            </strRef>
          </tx>
          <spPr>
            <a:ln xmlns:a="http://schemas.openxmlformats.org/drawingml/2006/main" w="28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'Portfolio'!$B$39:$B$50</f>
            </numRef>
          </cat>
          <val>
            <numRef>
              <f>'Portfolio'!$D$39:$D$50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54</row>
      <rowOff>0</rowOff>
    </from>
    <ext cx="28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54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08: Model Portfolio &amp; Risk Dashboard</t>
        </is>
      </c>
    </row>
    <row r="6" ht="45" customHeight="1">
      <c r="B6" s="3" t="inlineStr">
        <is>
          <t>Purpose</t>
        </is>
      </c>
      <c r="C6" s="4" t="inlineStr">
        <is>
          <t>Build a multi-asset model portfolio, then measure what matters to a client: expected return, volatility from a full correlation matrix, Sharpe ratio, and historical drawdown.</t>
        </is>
      </c>
    </row>
    <row r="7" ht="45" customHeight="1">
      <c r="B7" s="3" t="inlineStr">
        <is>
          <t>Techniques shown</t>
        </is>
      </c>
      <c r="C7" s="4" t="inlineStr">
        <is>
          <t>Strategic asset allocation · expected return (SUMPRODUCT) · portfolio volatility from a covariance grid · Sharpe ratio · cumulative growth of €100k · maximum drawdown.</t>
        </is>
      </c>
    </row>
    <row r="8" ht="45" customHeight="1">
      <c r="B8" s="3" t="inlineStr">
        <is>
          <t>How to use</t>
        </is>
      </c>
      <c r="C8" s="4" t="inlineStr">
        <is>
          <t>Change the blue weights, returns, volatilities or the correlation matrix; the risk/return metrics and charts recompute. Weights should sum to 100%.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7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3" customWidth="1" min="4" max="4"/>
    <col width="12" customWidth="1" min="5" max="5"/>
    <col width="2" customWidth="1" min="6" max="6"/>
    <col width="1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" customWidth="1" min="13" max="13"/>
  </cols>
  <sheetData>
    <row r="2" ht="30" customHeight="1">
      <c r="B2" s="1" t="inlineStr">
        <is>
          <t>Strategic Asset Allocation</t>
        </is>
      </c>
    </row>
    <row r="3" ht="16" customHeight="1">
      <c r="B3" s="2" t="inlineStr">
        <is>
          <t>Returns and volatilities are annual. Blue = input.</t>
        </is>
      </c>
    </row>
    <row r="5" ht="26" customHeight="1">
      <c r="B5" s="11" t="inlineStr">
        <is>
          <t>Asset class</t>
        </is>
      </c>
      <c r="C5" s="12" t="inlineStr">
        <is>
          <t>Weight</t>
        </is>
      </c>
      <c r="D5" s="12" t="inlineStr">
        <is>
          <t>Exp. return</t>
        </is>
      </c>
      <c r="E5" s="12" t="inlineStr">
        <is>
          <t>Volatility</t>
        </is>
      </c>
    </row>
    <row r="6">
      <c r="B6" s="13" t="inlineStr">
        <is>
          <t>Global equities</t>
        </is>
      </c>
      <c r="C6" s="14" t="n">
        <v>0.45</v>
      </c>
      <c r="D6" s="14" t="n">
        <v>0.08</v>
      </c>
      <c r="E6" s="14" t="n">
        <v>0.16</v>
      </c>
    </row>
    <row r="7">
      <c r="B7" s="13" t="inlineStr">
        <is>
          <t>Government bonds</t>
        </is>
      </c>
      <c r="C7" s="14" t="n">
        <v>0.25</v>
      </c>
      <c r="D7" s="14" t="n">
        <v>0.03</v>
      </c>
      <c r="E7" s="14" t="n">
        <v>0.05</v>
      </c>
    </row>
    <row r="8">
      <c r="B8" s="13" t="inlineStr">
        <is>
          <t>Real estate (REITs)</t>
        </is>
      </c>
      <c r="C8" s="14" t="n">
        <v>0.12</v>
      </c>
      <c r="D8" s="14" t="n">
        <v>0.06</v>
      </c>
      <c r="E8" s="14" t="n">
        <v>0.12</v>
      </c>
    </row>
    <row r="9">
      <c r="B9" s="13" t="inlineStr">
        <is>
          <t>Commodities</t>
        </is>
      </c>
      <c r="C9" s="14" t="n">
        <v>0.08</v>
      </c>
      <c r="D9" s="14" t="n">
        <v>0.05</v>
      </c>
      <c r="E9" s="14" t="n">
        <v>0.18</v>
      </c>
    </row>
    <row r="10">
      <c r="B10" s="13" t="inlineStr">
        <is>
          <t>Cash</t>
        </is>
      </c>
      <c r="C10" s="14" t="n">
        <v>0.1</v>
      </c>
      <c r="D10" s="14" t="n">
        <v>0.02</v>
      </c>
      <c r="E10" s="14" t="n">
        <v>0.01</v>
      </c>
    </row>
    <row r="11">
      <c r="B11" s="15" t="inlineStr">
        <is>
          <t>Total / check</t>
        </is>
      </c>
      <c r="C11" s="16">
        <f>SUM(C6:C10)</f>
        <v/>
      </c>
      <c r="D11" s="17" t="n"/>
      <c r="E11" s="17" t="n"/>
    </row>
    <row r="13">
      <c r="B13" s="5" t="inlineStr">
        <is>
          <t>Risk-free rate</t>
        </is>
      </c>
      <c r="C13" s="14" t="n">
        <v>0.02</v>
      </c>
    </row>
    <row r="15" ht="20" customHeight="1">
      <c r="G15" s="18" t="inlineStr">
        <is>
          <t>Correlation matrix</t>
        </is>
      </c>
    </row>
    <row r="16">
      <c r="G16" s="19" t="inlineStr"/>
      <c r="H16" s="20" t="inlineStr">
        <is>
          <t>Global equ</t>
        </is>
      </c>
      <c r="I16" s="20" t="inlineStr">
        <is>
          <t>Government</t>
        </is>
      </c>
      <c r="J16" s="20" t="inlineStr">
        <is>
          <t>Real estat</t>
        </is>
      </c>
      <c r="K16" s="20" t="inlineStr">
        <is>
          <t>Commoditie</t>
        </is>
      </c>
      <c r="L16" s="20" t="inlineStr">
        <is>
          <t>Cash</t>
        </is>
      </c>
    </row>
    <row r="17">
      <c r="G17" s="21" t="inlineStr">
        <is>
          <t>Global equit</t>
        </is>
      </c>
      <c r="H17" s="22" t="n">
        <v>1</v>
      </c>
      <c r="I17" s="22" t="n">
        <v>0.15</v>
      </c>
      <c r="J17" s="22" t="n">
        <v>0.55</v>
      </c>
      <c r="K17" s="22" t="n">
        <v>0.35</v>
      </c>
      <c r="L17" s="22" t="n">
        <v>0</v>
      </c>
    </row>
    <row r="18">
      <c r="G18" s="21" t="inlineStr">
        <is>
          <t>Government b</t>
        </is>
      </c>
      <c r="H18" s="22" t="n">
        <v>0.15</v>
      </c>
      <c r="I18" s="22" t="n">
        <v>1</v>
      </c>
      <c r="J18" s="22" t="n">
        <v>0.2</v>
      </c>
      <c r="K18" s="22" t="n">
        <v>-0.1</v>
      </c>
      <c r="L18" s="22" t="n">
        <v>0.1</v>
      </c>
    </row>
    <row r="19">
      <c r="G19" s="21" t="inlineStr">
        <is>
          <t xml:space="preserve">Real estate </t>
        </is>
      </c>
      <c r="H19" s="22" t="n">
        <v>0.55</v>
      </c>
      <c r="I19" s="22" t="n">
        <v>0.2</v>
      </c>
      <c r="J19" s="22" t="n">
        <v>1</v>
      </c>
      <c r="K19" s="22" t="n">
        <v>0.3</v>
      </c>
      <c r="L19" s="22" t="n">
        <v>0</v>
      </c>
    </row>
    <row r="20">
      <c r="G20" s="21" t="inlineStr">
        <is>
          <t>Commodities</t>
        </is>
      </c>
      <c r="H20" s="22" t="n">
        <v>0.35</v>
      </c>
      <c r="I20" s="22" t="n">
        <v>-0.1</v>
      </c>
      <c r="J20" s="22" t="n">
        <v>0.3</v>
      </c>
      <c r="K20" s="22" t="n">
        <v>1</v>
      </c>
      <c r="L20" s="22" t="n">
        <v>0.05</v>
      </c>
    </row>
    <row r="21">
      <c r="G21" s="21" t="inlineStr">
        <is>
          <t>Cash</t>
        </is>
      </c>
      <c r="H21" s="22" t="n">
        <v>0</v>
      </c>
      <c r="I21" s="22" t="n">
        <v>0.1</v>
      </c>
      <c r="J21" s="22" t="n">
        <v>0</v>
      </c>
      <c r="K21" s="22" t="n">
        <v>0.05</v>
      </c>
      <c r="L21" s="22" t="n">
        <v>1</v>
      </c>
    </row>
    <row r="23" ht="20" customHeight="1">
      <c r="G23" s="18" t="inlineStr">
        <is>
          <t>Covariance contribution grid  (w_i·w_j·σ_i·σ_j·ρ_ij)</t>
        </is>
      </c>
    </row>
    <row r="24">
      <c r="G24" s="19" t="inlineStr"/>
      <c r="H24" s="20" t="inlineStr">
        <is>
          <t>Global equ</t>
        </is>
      </c>
      <c r="I24" s="20" t="inlineStr">
        <is>
          <t>Government</t>
        </is>
      </c>
      <c r="J24" s="20" t="inlineStr">
        <is>
          <t>Real estat</t>
        </is>
      </c>
      <c r="K24" s="20" t="inlineStr">
        <is>
          <t>Commoditie</t>
        </is>
      </c>
      <c r="L24" s="20" t="inlineStr">
        <is>
          <t>Cash</t>
        </is>
      </c>
    </row>
    <row r="25">
      <c r="G25" s="21" t="inlineStr">
        <is>
          <t>Global equit</t>
        </is>
      </c>
      <c r="H25" s="23">
        <f>$C$6*$C$6*$E$6*$E$6*H17</f>
        <v/>
      </c>
      <c r="I25" s="23">
        <f>$C$6*$C$7*$E$6*$E$7*I17</f>
        <v/>
      </c>
      <c r="J25" s="23">
        <f>$C$6*$C$8*$E$6*$E$8*J17</f>
        <v/>
      </c>
      <c r="K25" s="23">
        <f>$C$6*$C$9*$E$6*$E$9*K17</f>
        <v/>
      </c>
      <c r="L25" s="23">
        <f>$C$6*$C$10*$E$6*$E$10*L17</f>
        <v/>
      </c>
    </row>
    <row r="26">
      <c r="G26" s="21" t="inlineStr">
        <is>
          <t>Government b</t>
        </is>
      </c>
      <c r="H26" s="23">
        <f>$C$7*$C$6*$E$7*$E$6*H18</f>
        <v/>
      </c>
      <c r="I26" s="23">
        <f>$C$7*$C$7*$E$7*$E$7*I18</f>
        <v/>
      </c>
      <c r="J26" s="23">
        <f>$C$7*$C$8*$E$7*$E$8*J18</f>
        <v/>
      </c>
      <c r="K26" s="23">
        <f>$C$7*$C$9*$E$7*$E$9*K18</f>
        <v/>
      </c>
      <c r="L26" s="23">
        <f>$C$7*$C$10*$E$7*$E$10*L18</f>
        <v/>
      </c>
    </row>
    <row r="27">
      <c r="G27" s="21" t="inlineStr">
        <is>
          <t xml:space="preserve">Real estate </t>
        </is>
      </c>
      <c r="H27" s="23">
        <f>$C$8*$C$6*$E$8*$E$6*H19</f>
        <v/>
      </c>
      <c r="I27" s="23">
        <f>$C$8*$C$7*$E$8*$E$7*I19</f>
        <v/>
      </c>
      <c r="J27" s="23">
        <f>$C$8*$C$8*$E$8*$E$8*J19</f>
        <v/>
      </c>
      <c r="K27" s="23">
        <f>$C$8*$C$9*$E$8*$E$9*K19</f>
        <v/>
      </c>
      <c r="L27" s="23">
        <f>$C$8*$C$10*$E$8*$E$10*L19</f>
        <v/>
      </c>
    </row>
    <row r="28">
      <c r="G28" s="21" t="inlineStr">
        <is>
          <t>Commodities</t>
        </is>
      </c>
      <c r="H28" s="23">
        <f>$C$9*$C$6*$E$9*$E$6*H20</f>
        <v/>
      </c>
      <c r="I28" s="23">
        <f>$C$9*$C$7*$E$9*$E$7*I20</f>
        <v/>
      </c>
      <c r="J28" s="23">
        <f>$C$9*$C$8*$E$9*$E$8*J20</f>
        <v/>
      </c>
      <c r="K28" s="23">
        <f>$C$9*$C$9*$E$9*$E$9*K20</f>
        <v/>
      </c>
      <c r="L28" s="23">
        <f>$C$9*$C$10*$E$9*$E$10*L20</f>
        <v/>
      </c>
    </row>
    <row r="29">
      <c r="G29" s="21" t="inlineStr">
        <is>
          <t>Cash</t>
        </is>
      </c>
      <c r="H29" s="23">
        <f>$C$10*$C$6*$E$10*$E$6*H21</f>
        <v/>
      </c>
      <c r="I29" s="23">
        <f>$C$10*$C$7*$E$10*$E$7*I21</f>
        <v/>
      </c>
      <c r="J29" s="23">
        <f>$C$10*$C$8*$E$10*$E$8*J21</f>
        <v/>
      </c>
      <c r="K29" s="23">
        <f>$C$10*$C$9*$E$10*$E$9*K21</f>
        <v/>
      </c>
      <c r="L29" s="23">
        <f>$C$10*$C$10*$E$10*$E$10*L21</f>
        <v/>
      </c>
    </row>
    <row r="31" ht="20" customHeight="1">
      <c r="B31" s="18" t="inlineStr">
        <is>
          <t>Portfolio risk &amp; return</t>
        </is>
      </c>
    </row>
    <row r="32">
      <c r="B32" s="24" t="inlineStr">
        <is>
          <t>Expected return (annual)</t>
        </is>
      </c>
      <c r="C32" s="25">
        <f>SUMPRODUCT(C6:C10,D6:D10)</f>
        <v/>
      </c>
    </row>
    <row r="33">
      <c r="B33" s="26" t="inlineStr">
        <is>
          <t>Portfolio variance</t>
        </is>
      </c>
      <c r="C33" s="27">
        <f>SUM(H25:L29)</f>
        <v/>
      </c>
    </row>
    <row r="34">
      <c r="B34" s="26" t="inlineStr">
        <is>
          <t>Volatility (annual)</t>
        </is>
      </c>
      <c r="C34" s="28">
        <f>SQRT(C33)</f>
        <v/>
      </c>
    </row>
    <row r="35">
      <c r="B35" s="26" t="inlineStr">
        <is>
          <t>Sharpe ratio</t>
        </is>
      </c>
      <c r="C35" s="29">
        <f>(C32-C13)/C34</f>
        <v/>
      </c>
    </row>
    <row r="37" ht="20" customHeight="1">
      <c r="B37" s="18" t="inlineStr">
        <is>
          <t>Historical performance — growth of €100,000</t>
        </is>
      </c>
    </row>
    <row r="38" ht="26" customHeight="1">
      <c r="B38" s="11" t="inlineStr">
        <is>
          <t>Month</t>
        </is>
      </c>
      <c r="C38" s="12" t="inlineStr">
        <is>
          <t>Monthly return</t>
        </is>
      </c>
      <c r="D38" s="12" t="inlineStr">
        <is>
          <t>Index (start 100)</t>
        </is>
      </c>
      <c r="E38" s="12" t="inlineStr">
        <is>
          <t>Drawdown</t>
        </is>
      </c>
    </row>
    <row r="39">
      <c r="B39" s="13" t="inlineStr">
        <is>
          <t>Jan</t>
        </is>
      </c>
      <c r="C39" s="14" t="n">
        <v>0.021</v>
      </c>
      <c r="D39" s="30">
        <f>100*(1+C39)</f>
        <v/>
      </c>
      <c r="E39" s="31">
        <f>D39/MAX(D$39:D39)-1</f>
        <v/>
      </c>
    </row>
    <row r="40">
      <c r="B40" s="13" t="inlineStr">
        <is>
          <t>Feb</t>
        </is>
      </c>
      <c r="C40" s="14" t="n">
        <v>-0.008</v>
      </c>
      <c r="D40" s="30">
        <f>D39*(1+C40)</f>
        <v/>
      </c>
      <c r="E40" s="31">
        <f>D40/MAX(D$39:D40)-1</f>
        <v/>
      </c>
    </row>
    <row r="41">
      <c r="B41" s="13" t="inlineStr">
        <is>
          <t>Mar</t>
        </is>
      </c>
      <c r="C41" s="14" t="n">
        <v>0.017</v>
      </c>
      <c r="D41" s="30">
        <f>D40*(1+C41)</f>
        <v/>
      </c>
      <c r="E41" s="31">
        <f>D41/MAX(D$39:D41)-1</f>
        <v/>
      </c>
    </row>
    <row r="42">
      <c r="B42" s="13" t="inlineStr">
        <is>
          <t>Apr</t>
        </is>
      </c>
      <c r="C42" s="14" t="n">
        <v>0.008999999999999999</v>
      </c>
      <c r="D42" s="30">
        <f>D41*(1+C42)</f>
        <v/>
      </c>
      <c r="E42" s="31">
        <f>D42/MAX(D$39:D42)-1</f>
        <v/>
      </c>
    </row>
    <row r="43">
      <c r="B43" s="13" t="inlineStr">
        <is>
          <t>May</t>
        </is>
      </c>
      <c r="C43" s="14" t="n">
        <v>-0.015</v>
      </c>
      <c r="D43" s="30">
        <f>D42*(1+C43)</f>
        <v/>
      </c>
      <c r="E43" s="31">
        <f>D43/MAX(D$39:D43)-1</f>
        <v/>
      </c>
    </row>
    <row r="44">
      <c r="B44" s="13" t="inlineStr">
        <is>
          <t>Jun</t>
        </is>
      </c>
      <c r="C44" s="14" t="n">
        <v>0.023</v>
      </c>
      <c r="D44" s="30">
        <f>D43*(1+C44)</f>
        <v/>
      </c>
      <c r="E44" s="31">
        <f>D44/MAX(D$39:D44)-1</f>
        <v/>
      </c>
    </row>
    <row r="45">
      <c r="B45" s="13" t="inlineStr">
        <is>
          <t>Jul</t>
        </is>
      </c>
      <c r="C45" s="14" t="n">
        <v>0.006</v>
      </c>
      <c r="D45" s="30">
        <f>D44*(1+C45)</f>
        <v/>
      </c>
      <c r="E45" s="31">
        <f>D45/MAX(D$39:D45)-1</f>
        <v/>
      </c>
    </row>
    <row r="46">
      <c r="B46" s="13" t="inlineStr">
        <is>
          <t>Aug</t>
        </is>
      </c>
      <c r="C46" s="14" t="n">
        <v>0.012</v>
      </c>
      <c r="D46" s="30">
        <f>D45*(1+C46)</f>
        <v/>
      </c>
      <c r="E46" s="31">
        <f>D46/MAX(D$39:D46)-1</f>
        <v/>
      </c>
    </row>
    <row r="47">
      <c r="B47" s="13" t="inlineStr">
        <is>
          <t>Sep</t>
        </is>
      </c>
      <c r="C47" s="14" t="n">
        <v>-0.004</v>
      </c>
      <c r="D47" s="30">
        <f>D46*(1+C47)</f>
        <v/>
      </c>
      <c r="E47" s="31">
        <f>D47/MAX(D$39:D47)-1</f>
        <v/>
      </c>
    </row>
    <row r="48">
      <c r="B48" s="13" t="inlineStr">
        <is>
          <t>Oct</t>
        </is>
      </c>
      <c r="C48" s="14" t="n">
        <v>0.018</v>
      </c>
      <c r="D48" s="30">
        <f>D47*(1+C48)</f>
        <v/>
      </c>
      <c r="E48" s="31">
        <f>D48/MAX(D$39:D48)-1</f>
        <v/>
      </c>
    </row>
    <row r="49">
      <c r="B49" s="13" t="inlineStr">
        <is>
          <t>Nov</t>
        </is>
      </c>
      <c r="C49" s="14" t="n">
        <v>0.01</v>
      </c>
      <c r="D49" s="30">
        <f>D48*(1+C49)</f>
        <v/>
      </c>
      <c r="E49" s="31">
        <f>D49/MAX(D$39:D49)-1</f>
        <v/>
      </c>
    </row>
    <row r="50">
      <c r="B50" s="13" t="inlineStr">
        <is>
          <t>Dec</t>
        </is>
      </c>
      <c r="C50" s="14" t="n">
        <v>0.014</v>
      </c>
      <c r="D50" s="30">
        <f>D49*(1+C50)</f>
        <v/>
      </c>
      <c r="E50" s="31">
        <f>D50/MAX(D$39:D50)-1</f>
        <v/>
      </c>
    </row>
    <row r="52">
      <c r="B52" s="5" t="inlineStr">
        <is>
          <t>Cumulative return (12 mo)</t>
        </is>
      </c>
      <c r="C52" s="32">
        <f>D50/100-1</f>
        <v/>
      </c>
    </row>
    <row r="53">
      <c r="B53" s="5" t="inlineStr">
        <is>
          <t>Maximum drawdown</t>
        </is>
      </c>
      <c r="C53" s="32">
        <f>MIN(E39:E50)</f>
        <v/>
      </c>
    </row>
    <row r="72" ht="20" customHeight="1">
      <c r="B72" s="18" t="inlineStr">
        <is>
          <t>Key insights (auto-generated)</t>
        </is>
      </c>
    </row>
    <row r="73" ht="26" customHeight="1">
      <c r="B73" s="33">
        <f>"Balanced 45/25/30 style mix targets a "&amp;TEXT(C32,"0.0%")&amp;" return at "&amp;TEXT(C34,"0.0%")&amp;" volatility, a Sharpe of "&amp;TEXT(C35,"0.00")&amp;"."</f>
        <v/>
      </c>
    </row>
    <row r="74" ht="26" customHeight="1">
      <c r="B74" s="33">
        <f>"Diversification matters: portfolio volatility ("&amp;TEXT(C34,"0.0%")&amp;") sits below the equity sleeve alone (16%) thanks to low bond and cash correlations."</f>
        <v/>
      </c>
    </row>
    <row r="75" ht="26" customHeight="1">
      <c r="B75" s="33">
        <f>"Over the sample year the portfolio returned "&amp;TEXT(C52,"0.0%")&amp;" with a worst drawdown of "&amp;TEXT(C53,"0.0%")&amp;"."</f>
        <v/>
      </c>
    </row>
  </sheetData>
  <mergeCells count="10">
    <mergeCell ref="B2:E2"/>
    <mergeCell ref="B3:E3"/>
    <mergeCell ref="G15:L15"/>
    <mergeCell ref="G23:L23"/>
    <mergeCell ref="B31:E31"/>
    <mergeCell ref="B37:E37"/>
    <mergeCell ref="B72:G72"/>
    <mergeCell ref="B73:J73"/>
    <mergeCell ref="B74:J74"/>
    <mergeCell ref="B75:J7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2026-09-07T20:23:51Z</dcterms:created>
  <dcterms:modified xmlns:dcterms="http://purl.org/dc/terms/" xmlns:xsi="http://www.w3.org/2001/XMLSchema-instance" xsi:type="dcterms:W3CDTF">2026-09-07T20:23:51Z</dcterms:modified>
</cp:coreProperties>
</file>