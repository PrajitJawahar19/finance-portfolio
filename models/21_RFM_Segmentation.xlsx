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F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A5F"/>
      <sz val="10"/>
    </font>
    <font>
      <name val="Arial"/>
      <color rgb="00222222"/>
      <sz val="10"/>
    </font>
    <font>
      <name val="Arial"/>
      <b val="1"/>
      <color rgb="000000FF"/>
      <sz val="9"/>
    </font>
    <font>
      <name val="Arial"/>
      <color rgb="00444444"/>
      <sz val="9"/>
    </font>
    <font>
      <name val="Arial"/>
      <b val="1"/>
      <color rgb="00000000"/>
      <sz val="9"/>
    </font>
    <font>
      <name val="Arial"/>
      <b val="1"/>
      <color rgb="00008000"/>
      <sz val="9"/>
    </font>
    <font>
      <name val="Arial"/>
      <b val="1"/>
      <color rgb="001F3A5F"/>
      <sz val="11"/>
    </font>
    <font>
      <name val="Arial"/>
      <b val="1"/>
      <color rgb="00FFFFFF"/>
      <sz val="9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1F3A5F"/>
      <sz val="9.5"/>
    </font>
    <font>
      <name val="Arial"/>
      <color rgb="00333333"/>
      <sz val="9.5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2E5A8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/>
    </xf>
    <xf numFmtId="1" fontId="12" fillId="4" borderId="1" applyAlignment="1" pivotButton="0" quotePrefix="0" xfId="0">
      <alignment horizontal="right" vertical="center"/>
    </xf>
    <xf numFmtId="3" fontId="12" fillId="4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center" vertical="center"/>
    </xf>
    <xf numFmtId="1" fontId="11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1" fontId="11" fillId="0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Customers by segment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2E5A88"/>
            </a:solidFill>
            <a:ln xmlns:a="http://schemas.openxmlformats.org/drawingml/2006/main">
              <a:prstDash val="solid"/>
            </a:ln>
          </spPr>
          <cat>
            <numRef>
              <f>'RFM'!$B$25:$B$30</f>
            </numRef>
          </cat>
          <val>
            <numRef>
              <f>'RFM'!$C$25:$C$30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60" customWidth="1" min="3" max="3"/>
    <col width="2" customWidth="1" min="4" max="4"/>
  </cols>
  <sheetData>
    <row r="2" ht="30" customHeight="1">
      <c r="B2" s="1" t="inlineStr">
        <is>
          <t>HELIOS CONSUMER GmbH  ·  Sample Model</t>
        </is>
      </c>
    </row>
    <row r="3" ht="16" customHeight="1">
      <c r="B3" s="2" t="inlineStr">
        <is>
          <t>Illustrative portfolio project. Prepared by Prajit Jawahar</t>
        </is>
      </c>
    </row>
    <row r="5" ht="30" customHeight="1">
      <c r="B5" s="3" t="inlineStr">
        <is>
          <t>Model</t>
        </is>
      </c>
      <c r="C5" s="4" t="inlineStr">
        <is>
          <t>21: RFM Customer Segmentation</t>
        </is>
      </c>
    </row>
    <row r="6" ht="60" customHeight="1">
      <c r="B6" s="3" t="inlineStr">
        <is>
          <t>Purpose</t>
        </is>
      </c>
      <c r="C6" s="4" t="inlineStr">
        <is>
          <t>Segment customers by behaviour: score each on Recency, Frequency and Monetary value, combine into an RFM score, label them into actionable segments, and summarise the base by segment.</t>
        </is>
      </c>
    </row>
    <row r="7" ht="30" customHeight="1">
      <c r="B7" s="3" t="inlineStr">
        <is>
          <t>Techniques shown</t>
        </is>
      </c>
      <c r="C7" s="4" t="inlineStr">
        <is>
          <t>R / F / M scoring with thresholds · combined RFM score · rule-based segment labels · segment counts and average value.</t>
        </is>
      </c>
    </row>
    <row r="8" ht="30" customHeight="1">
      <c r="B8" s="3" t="inlineStr">
        <is>
          <t>How to use</t>
        </is>
      </c>
      <c r="C8" s="4" t="inlineStr">
        <is>
          <t>Change the blue customer data or the scoring thresholds; the scores, segments and summary update.</t>
        </is>
      </c>
    </row>
    <row r="9" ht="30" customHeight="1">
      <c r="B9" s="3" t="inlineStr">
        <is>
          <t>Currency / units</t>
        </is>
      </c>
      <c r="C9" s="4" t="inlineStr">
        <is>
          <t>See each sheet header for units.</t>
        </is>
      </c>
    </row>
    <row r="10" ht="30" customHeight="1">
      <c r="B10" s="3" t="inlineStr">
        <is>
          <t>Data</t>
        </is>
      </c>
      <c r="C10" s="4" t="inlineStr">
        <is>
          <t>Sample / illustrative figures for a fictional company. Not real financials.</t>
        </is>
      </c>
    </row>
    <row r="12">
      <c r="B12" s="5" t="inlineStr">
        <is>
          <t>Colour key</t>
        </is>
      </c>
    </row>
    <row r="13">
      <c r="B13" s="6" t="inlineStr">
        <is>
          <t xml:space="preserve">  Blue text</t>
        </is>
      </c>
      <c r="C13" s="7" t="inlineStr">
        <is>
          <t>Hard-coded input / assumption you can change</t>
        </is>
      </c>
    </row>
    <row r="14">
      <c r="B14" s="8" t="inlineStr">
        <is>
          <t xml:space="preserve">  Black text</t>
        </is>
      </c>
      <c r="C14" s="7" t="inlineStr">
        <is>
          <t>Formula, recalculates automatically</t>
        </is>
      </c>
    </row>
    <row r="15">
      <c r="B15" s="9" t="inlineStr">
        <is>
          <t xml:space="preserve">  Green text</t>
        </is>
      </c>
      <c r="C15" s="7" t="inlineStr">
        <is>
          <t>Links to another sheet</t>
        </is>
      </c>
    </row>
    <row r="16">
      <c r="B16" s="10" t="inlineStr">
        <is>
          <t xml:space="preserve">  Yellow fill</t>
        </is>
      </c>
      <c r="C16" s="7" t="inlineStr">
        <is>
          <t>Cells intended for you to fill in</t>
        </is>
      </c>
    </row>
  </sheetData>
  <mergeCells count="2">
    <mergeCell ref="B2:C2"/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2" customWidth="1" min="3" max="3"/>
    <col width="12" customWidth="1" min="4" max="4"/>
    <col width="12" customWidth="1" min="5" max="5"/>
    <col width="8" customWidth="1" min="6" max="6"/>
    <col width="8" customWidth="1" min="7" max="7"/>
    <col width="8" customWidth="1" min="8" max="8"/>
    <col width="8" customWidth="1" min="9" max="9"/>
    <col width="18" customWidth="1" min="10" max="10"/>
    <col width="2" customWidth="1" min="11" max="11"/>
  </cols>
  <sheetData>
    <row r="2" ht="30" customHeight="1">
      <c r="B2" s="1" t="inlineStr">
        <is>
          <t>RFM Customer Segmentation</t>
        </is>
      </c>
    </row>
    <row r="3" ht="16" customHeight="1">
      <c r="B3" s="2" t="inlineStr">
        <is>
          <t>Recency in days, Monetary in €. Blue = input.</t>
        </is>
      </c>
    </row>
    <row r="5" ht="20" customHeight="1">
      <c r="B5" s="11" t="inlineStr">
        <is>
          <t>Customer scoring</t>
        </is>
      </c>
    </row>
    <row r="6" ht="26" customHeight="1">
      <c r="B6" s="12" t="inlineStr">
        <is>
          <t>Customer</t>
        </is>
      </c>
      <c r="C6" s="13" t="inlineStr">
        <is>
          <t>Recency (d)</t>
        </is>
      </c>
      <c r="D6" s="13" t="inlineStr">
        <is>
          <t>Frequency</t>
        </is>
      </c>
      <c r="E6" s="13" t="inlineStr">
        <is>
          <t>Monetary (€)</t>
        </is>
      </c>
      <c r="F6" s="13" t="inlineStr">
        <is>
          <t>R</t>
        </is>
      </c>
      <c r="G6" s="13" t="inlineStr">
        <is>
          <t>F</t>
        </is>
      </c>
      <c r="H6" s="13" t="inlineStr">
        <is>
          <t>M</t>
        </is>
      </c>
      <c r="I6" s="13" t="inlineStr">
        <is>
          <t>RFM</t>
        </is>
      </c>
      <c r="J6" s="13" t="inlineStr">
        <is>
          <t>Segment</t>
        </is>
      </c>
    </row>
    <row r="7">
      <c r="B7" s="14" t="inlineStr">
        <is>
          <t>C001</t>
        </is>
      </c>
      <c r="C7" s="15" t="n">
        <v>12</v>
      </c>
      <c r="D7" s="15" t="n">
        <v>14</v>
      </c>
      <c r="E7" s="16" t="n">
        <v>3200</v>
      </c>
      <c r="F7" s="17">
        <f>IF(C7&lt;=30,5,IF(C7&lt;=60,4,IF(C7&lt;=120,3,IF(C7&lt;=240,2,1))))</f>
        <v/>
      </c>
      <c r="G7" s="17">
        <f>IF(D7&gt;=12,5,IF(D7&gt;=8,4,IF(D7&gt;=5,3,IF(D7&gt;=2,2,1))))</f>
        <v/>
      </c>
      <c r="H7" s="17">
        <f>IF(E7&gt;=2000,5,IF(E7&gt;=1000,4,IF(E7&gt;=500,3,IF(E7&gt;=200,2,1))))</f>
        <v/>
      </c>
      <c r="I7" s="18">
        <f>F7*100+G7*10+H7</f>
        <v/>
      </c>
      <c r="J7" s="19">
        <f>IF(AND(F7&gt;=4,G7&gt;=4,H7&gt;=4),"Champions",IF(AND(F7&lt;=2,G7&gt;=3),"At risk",IF(F7&lt;=2,"Lost",IF(G7&gt;=4,"Loyal",IF(H7&gt;=4,"Big spender","Promising")))))</f>
        <v/>
      </c>
    </row>
    <row r="8">
      <c r="B8" s="14" t="inlineStr">
        <is>
          <t>C002</t>
        </is>
      </c>
      <c r="C8" s="15" t="n">
        <v>210</v>
      </c>
      <c r="D8" s="15" t="n">
        <v>8</v>
      </c>
      <c r="E8" s="16" t="n">
        <v>1400</v>
      </c>
      <c r="F8" s="17">
        <f>IF(C8&lt;=30,5,IF(C8&lt;=60,4,IF(C8&lt;=120,3,IF(C8&lt;=240,2,1))))</f>
        <v/>
      </c>
      <c r="G8" s="17">
        <f>IF(D8&gt;=12,5,IF(D8&gt;=8,4,IF(D8&gt;=5,3,IF(D8&gt;=2,2,1))))</f>
        <v/>
      </c>
      <c r="H8" s="17">
        <f>IF(E8&gt;=2000,5,IF(E8&gt;=1000,4,IF(E8&gt;=500,3,IF(E8&gt;=200,2,1))))</f>
        <v/>
      </c>
      <c r="I8" s="18">
        <f>F8*100+G8*10+H8</f>
        <v/>
      </c>
      <c r="J8" s="19">
        <f>IF(AND(F8&gt;=4,G8&gt;=4,H8&gt;=4),"Champions",IF(AND(F8&lt;=2,G8&gt;=3),"At risk",IF(F8&lt;=2,"Lost",IF(G8&gt;=4,"Loyal",IF(H8&gt;=4,"Big spender","Promising")))))</f>
        <v/>
      </c>
    </row>
    <row r="9">
      <c r="B9" s="14" t="inlineStr">
        <is>
          <t>C003</t>
        </is>
      </c>
      <c r="C9" s="15" t="n">
        <v>45</v>
      </c>
      <c r="D9" s="15" t="n">
        <v>8</v>
      </c>
      <c r="E9" s="16" t="n">
        <v>620</v>
      </c>
      <c r="F9" s="17">
        <f>IF(C9&lt;=30,5,IF(C9&lt;=60,4,IF(C9&lt;=120,3,IF(C9&lt;=240,2,1))))</f>
        <v/>
      </c>
      <c r="G9" s="17">
        <f>IF(D9&gt;=12,5,IF(D9&gt;=8,4,IF(D9&gt;=5,3,IF(D9&gt;=2,2,1))))</f>
        <v/>
      </c>
      <c r="H9" s="17">
        <f>IF(E9&gt;=2000,5,IF(E9&gt;=1000,4,IF(E9&gt;=500,3,IF(E9&gt;=200,2,1))))</f>
        <v/>
      </c>
      <c r="I9" s="18">
        <f>F9*100+G9*10+H9</f>
        <v/>
      </c>
      <c r="J9" s="19">
        <f>IF(AND(F9&gt;=4,G9&gt;=4,H9&gt;=4),"Champions",IF(AND(F9&lt;=2,G9&gt;=3),"At risk",IF(F9&lt;=2,"Lost",IF(G9&gt;=4,"Loyal",IF(H9&gt;=4,"Big spender","Promising")))))</f>
        <v/>
      </c>
    </row>
    <row r="10">
      <c r="B10" s="14" t="inlineStr">
        <is>
          <t>C004</t>
        </is>
      </c>
      <c r="C10" s="15" t="n">
        <v>5</v>
      </c>
      <c r="D10" s="15" t="n">
        <v>20</v>
      </c>
      <c r="E10" s="16" t="n">
        <v>5200</v>
      </c>
      <c r="F10" s="17">
        <f>IF(C10&lt;=30,5,IF(C10&lt;=60,4,IF(C10&lt;=120,3,IF(C10&lt;=240,2,1))))</f>
        <v/>
      </c>
      <c r="G10" s="17">
        <f>IF(D10&gt;=12,5,IF(D10&gt;=8,4,IF(D10&gt;=5,3,IF(D10&gt;=2,2,1))))</f>
        <v/>
      </c>
      <c r="H10" s="17">
        <f>IF(E10&gt;=2000,5,IF(E10&gt;=1000,4,IF(E10&gt;=500,3,IF(E10&gt;=200,2,1))))</f>
        <v/>
      </c>
      <c r="I10" s="18">
        <f>F10*100+G10*10+H10</f>
        <v/>
      </c>
      <c r="J10" s="19">
        <f>IF(AND(F10&gt;=4,G10&gt;=4,H10&gt;=4),"Champions",IF(AND(F10&lt;=2,G10&gt;=3),"At risk",IF(F10&lt;=2,"Lost",IF(G10&gt;=4,"Loyal",IF(H10&gt;=4,"Big spender","Promising")))))</f>
        <v/>
      </c>
    </row>
    <row r="11">
      <c r="B11" s="14" t="inlineStr">
        <is>
          <t>C005</t>
        </is>
      </c>
      <c r="C11" s="15" t="n">
        <v>95</v>
      </c>
      <c r="D11" s="15" t="n">
        <v>3</v>
      </c>
      <c r="E11" s="16" t="n">
        <v>1400</v>
      </c>
      <c r="F11" s="17">
        <f>IF(C11&lt;=30,5,IF(C11&lt;=60,4,IF(C11&lt;=120,3,IF(C11&lt;=240,2,1))))</f>
        <v/>
      </c>
      <c r="G11" s="17">
        <f>IF(D11&gt;=12,5,IF(D11&gt;=8,4,IF(D11&gt;=5,3,IF(D11&gt;=2,2,1))))</f>
        <v/>
      </c>
      <c r="H11" s="17">
        <f>IF(E11&gt;=2000,5,IF(E11&gt;=1000,4,IF(E11&gt;=500,3,IF(E11&gt;=200,2,1))))</f>
        <v/>
      </c>
      <c r="I11" s="18">
        <f>F11*100+G11*10+H11</f>
        <v/>
      </c>
      <c r="J11" s="19">
        <f>IF(AND(F11&gt;=4,G11&gt;=4,H11&gt;=4),"Champions",IF(AND(F11&lt;=2,G11&gt;=3),"At risk",IF(F11&lt;=2,"Lost",IF(G11&gt;=4,"Loyal",IF(H11&gt;=4,"Big spender","Promising")))))</f>
        <v/>
      </c>
    </row>
    <row r="12">
      <c r="B12" s="14" t="inlineStr">
        <is>
          <t>C006</t>
        </is>
      </c>
      <c r="C12" s="15" t="n">
        <v>300</v>
      </c>
      <c r="D12" s="15" t="n">
        <v>1</v>
      </c>
      <c r="E12" s="16" t="n">
        <v>90</v>
      </c>
      <c r="F12" s="17">
        <f>IF(C12&lt;=30,5,IF(C12&lt;=60,4,IF(C12&lt;=120,3,IF(C12&lt;=240,2,1))))</f>
        <v/>
      </c>
      <c r="G12" s="17">
        <f>IF(D12&gt;=12,5,IF(D12&gt;=8,4,IF(D12&gt;=5,3,IF(D12&gt;=2,2,1))))</f>
        <v/>
      </c>
      <c r="H12" s="17">
        <f>IF(E12&gt;=2000,5,IF(E12&gt;=1000,4,IF(E12&gt;=500,3,IF(E12&gt;=200,2,1))))</f>
        <v/>
      </c>
      <c r="I12" s="18">
        <f>F12*100+G12*10+H12</f>
        <v/>
      </c>
      <c r="J12" s="19">
        <f>IF(AND(F12&gt;=4,G12&gt;=4,H12&gt;=4),"Champions",IF(AND(F12&lt;=2,G12&gt;=3),"At risk",IF(F12&lt;=2,"Lost",IF(G12&gt;=4,"Loyal",IF(H12&gt;=4,"Big spender","Promising")))))</f>
        <v/>
      </c>
    </row>
    <row r="13">
      <c r="B13" s="14" t="inlineStr">
        <is>
          <t>C007</t>
        </is>
      </c>
      <c r="C13" s="15" t="n">
        <v>40</v>
      </c>
      <c r="D13" s="15" t="n">
        <v>11</v>
      </c>
      <c r="E13" s="16" t="n">
        <v>700</v>
      </c>
      <c r="F13" s="17">
        <f>IF(C13&lt;=30,5,IF(C13&lt;=60,4,IF(C13&lt;=120,3,IF(C13&lt;=240,2,1))))</f>
        <v/>
      </c>
      <c r="G13" s="17">
        <f>IF(D13&gt;=12,5,IF(D13&gt;=8,4,IF(D13&gt;=5,3,IF(D13&gt;=2,2,1))))</f>
        <v/>
      </c>
      <c r="H13" s="17">
        <f>IF(E13&gt;=2000,5,IF(E13&gt;=1000,4,IF(E13&gt;=500,3,IF(E13&gt;=200,2,1))))</f>
        <v/>
      </c>
      <c r="I13" s="18">
        <f>F13*100+G13*10+H13</f>
        <v/>
      </c>
      <c r="J13" s="19">
        <f>IF(AND(F13&gt;=4,G13&gt;=4,H13&gt;=4),"Champions",IF(AND(F13&lt;=2,G13&gt;=3),"At risk",IF(F13&lt;=2,"Lost",IF(G13&gt;=4,"Loyal",IF(H13&gt;=4,"Big spender","Promising")))))</f>
        <v/>
      </c>
    </row>
    <row r="14">
      <c r="B14" s="14" t="inlineStr">
        <is>
          <t>C008</t>
        </is>
      </c>
      <c r="C14" s="15" t="n">
        <v>150</v>
      </c>
      <c r="D14" s="15" t="n">
        <v>6</v>
      </c>
      <c r="E14" s="16" t="n">
        <v>410</v>
      </c>
      <c r="F14" s="17">
        <f>IF(C14&lt;=30,5,IF(C14&lt;=60,4,IF(C14&lt;=120,3,IF(C14&lt;=240,2,1))))</f>
        <v/>
      </c>
      <c r="G14" s="17">
        <f>IF(D14&gt;=12,5,IF(D14&gt;=8,4,IF(D14&gt;=5,3,IF(D14&gt;=2,2,1))))</f>
        <v/>
      </c>
      <c r="H14" s="17">
        <f>IF(E14&gt;=2000,5,IF(E14&gt;=1000,4,IF(E14&gt;=500,3,IF(E14&gt;=200,2,1))))</f>
        <v/>
      </c>
      <c r="I14" s="18">
        <f>F14*100+G14*10+H14</f>
        <v/>
      </c>
      <c r="J14" s="19">
        <f>IF(AND(F14&gt;=4,G14&gt;=4,H14&gt;=4),"Champions",IF(AND(F14&lt;=2,G14&gt;=3),"At risk",IF(F14&lt;=2,"Lost",IF(G14&gt;=4,"Loyal",IF(H14&gt;=4,"Big spender","Promising")))))</f>
        <v/>
      </c>
    </row>
    <row r="15">
      <c r="B15" s="14" t="inlineStr">
        <is>
          <t>C009</t>
        </is>
      </c>
      <c r="C15" s="15" t="n">
        <v>18</v>
      </c>
      <c r="D15" s="15" t="n">
        <v>16</v>
      </c>
      <c r="E15" s="16" t="n">
        <v>4100</v>
      </c>
      <c r="F15" s="17">
        <f>IF(C15&lt;=30,5,IF(C15&lt;=60,4,IF(C15&lt;=120,3,IF(C15&lt;=240,2,1))))</f>
        <v/>
      </c>
      <c r="G15" s="17">
        <f>IF(D15&gt;=12,5,IF(D15&gt;=8,4,IF(D15&gt;=5,3,IF(D15&gt;=2,2,1))))</f>
        <v/>
      </c>
      <c r="H15" s="17">
        <f>IF(E15&gt;=2000,5,IF(E15&gt;=1000,4,IF(E15&gt;=500,3,IF(E15&gt;=200,2,1))))</f>
        <v/>
      </c>
      <c r="I15" s="18">
        <f>F15*100+G15*10+H15</f>
        <v/>
      </c>
      <c r="J15" s="19">
        <f>IF(AND(F15&gt;=4,G15&gt;=4,H15&gt;=4),"Champions",IF(AND(F15&lt;=2,G15&gt;=3),"At risk",IF(F15&lt;=2,"Lost",IF(G15&gt;=4,"Loyal",IF(H15&gt;=4,"Big spender","Promising")))))</f>
        <v/>
      </c>
    </row>
    <row r="16">
      <c r="B16" s="14" t="inlineStr">
        <is>
          <t>C010</t>
        </is>
      </c>
      <c r="C16" s="15" t="n">
        <v>240</v>
      </c>
      <c r="D16" s="15" t="n">
        <v>5</v>
      </c>
      <c r="E16" s="16" t="n">
        <v>620</v>
      </c>
      <c r="F16" s="17">
        <f>IF(C16&lt;=30,5,IF(C16&lt;=60,4,IF(C16&lt;=120,3,IF(C16&lt;=240,2,1))))</f>
        <v/>
      </c>
      <c r="G16" s="17">
        <f>IF(D16&gt;=12,5,IF(D16&gt;=8,4,IF(D16&gt;=5,3,IF(D16&gt;=2,2,1))))</f>
        <v/>
      </c>
      <c r="H16" s="17">
        <f>IF(E16&gt;=2000,5,IF(E16&gt;=1000,4,IF(E16&gt;=500,3,IF(E16&gt;=200,2,1))))</f>
        <v/>
      </c>
      <c r="I16" s="18">
        <f>F16*100+G16*10+H16</f>
        <v/>
      </c>
      <c r="J16" s="19">
        <f>IF(AND(F16&gt;=4,G16&gt;=4,H16&gt;=4),"Champions",IF(AND(F16&lt;=2,G16&gt;=3),"At risk",IF(F16&lt;=2,"Lost",IF(G16&gt;=4,"Loyal",IF(H16&gt;=4,"Big spender","Promising")))))</f>
        <v/>
      </c>
    </row>
    <row r="17">
      <c r="B17" s="14" t="inlineStr">
        <is>
          <t>C011</t>
        </is>
      </c>
      <c r="C17" s="15" t="n">
        <v>120</v>
      </c>
      <c r="D17" s="15" t="n">
        <v>2</v>
      </c>
      <c r="E17" s="16" t="n">
        <v>1100</v>
      </c>
      <c r="F17" s="17">
        <f>IF(C17&lt;=30,5,IF(C17&lt;=60,4,IF(C17&lt;=120,3,IF(C17&lt;=240,2,1))))</f>
        <v/>
      </c>
      <c r="G17" s="17">
        <f>IF(D17&gt;=12,5,IF(D17&gt;=8,4,IF(D17&gt;=5,3,IF(D17&gt;=2,2,1))))</f>
        <v/>
      </c>
      <c r="H17" s="17">
        <f>IF(E17&gt;=2000,5,IF(E17&gt;=1000,4,IF(E17&gt;=500,3,IF(E17&gt;=200,2,1))))</f>
        <v/>
      </c>
      <c r="I17" s="18">
        <f>F17*100+G17*10+H17</f>
        <v/>
      </c>
      <c r="J17" s="19">
        <f>IF(AND(F17&gt;=4,G17&gt;=4,H17&gt;=4),"Champions",IF(AND(F17&lt;=2,G17&gt;=3),"At risk",IF(F17&lt;=2,"Lost",IF(G17&gt;=4,"Loyal",IF(H17&gt;=4,"Big spender","Promising")))))</f>
        <v/>
      </c>
    </row>
    <row r="18">
      <c r="B18" s="14" t="inlineStr">
        <is>
          <t>C012</t>
        </is>
      </c>
      <c r="C18" s="15" t="n">
        <v>270</v>
      </c>
      <c r="D18" s="15" t="n">
        <v>2</v>
      </c>
      <c r="E18" s="16" t="n">
        <v>150</v>
      </c>
      <c r="F18" s="17">
        <f>IF(C18&lt;=30,5,IF(C18&lt;=60,4,IF(C18&lt;=120,3,IF(C18&lt;=240,2,1))))</f>
        <v/>
      </c>
      <c r="G18" s="17">
        <f>IF(D18&gt;=12,5,IF(D18&gt;=8,4,IF(D18&gt;=5,3,IF(D18&gt;=2,2,1))))</f>
        <v/>
      </c>
      <c r="H18" s="17">
        <f>IF(E18&gt;=2000,5,IF(E18&gt;=1000,4,IF(E18&gt;=500,3,IF(E18&gt;=200,2,1))))</f>
        <v/>
      </c>
      <c r="I18" s="18">
        <f>F18*100+G18*10+H18</f>
        <v/>
      </c>
      <c r="J18" s="19">
        <f>IF(AND(F18&gt;=4,G18&gt;=4,H18&gt;=4),"Champions",IF(AND(F18&lt;=2,G18&gt;=3),"At risk",IF(F18&lt;=2,"Lost",IF(G18&gt;=4,"Loyal",IF(H18&gt;=4,"Big spender","Promising")))))</f>
        <v/>
      </c>
    </row>
    <row r="19">
      <c r="B19" s="14" t="inlineStr">
        <is>
          <t>C013</t>
        </is>
      </c>
      <c r="C19" s="15" t="n">
        <v>60</v>
      </c>
      <c r="D19" s="15" t="n">
        <v>9</v>
      </c>
      <c r="E19" s="16" t="n">
        <v>800</v>
      </c>
      <c r="F19" s="17">
        <f>IF(C19&lt;=30,5,IF(C19&lt;=60,4,IF(C19&lt;=120,3,IF(C19&lt;=240,2,1))))</f>
        <v/>
      </c>
      <c r="G19" s="17">
        <f>IF(D19&gt;=12,5,IF(D19&gt;=8,4,IF(D19&gt;=5,3,IF(D19&gt;=2,2,1))))</f>
        <v/>
      </c>
      <c r="H19" s="17">
        <f>IF(E19&gt;=2000,5,IF(E19&gt;=1000,4,IF(E19&gt;=500,3,IF(E19&gt;=200,2,1))))</f>
        <v/>
      </c>
      <c r="I19" s="18">
        <f>F19*100+G19*10+H19</f>
        <v/>
      </c>
      <c r="J19" s="19">
        <f>IF(AND(F19&gt;=4,G19&gt;=4,H19&gt;=4),"Champions",IF(AND(F19&lt;=2,G19&gt;=3),"At risk",IF(F19&lt;=2,"Lost",IF(G19&gt;=4,"Loyal",IF(H19&gt;=4,"Big spender","Promising")))))</f>
        <v/>
      </c>
    </row>
    <row r="20">
      <c r="B20" s="14" t="inlineStr">
        <is>
          <t>C014</t>
        </is>
      </c>
      <c r="C20" s="15" t="n">
        <v>100</v>
      </c>
      <c r="D20" s="15" t="n">
        <v>4</v>
      </c>
      <c r="E20" s="16" t="n">
        <v>500</v>
      </c>
      <c r="F20" s="17">
        <f>IF(C20&lt;=30,5,IF(C20&lt;=60,4,IF(C20&lt;=120,3,IF(C20&lt;=240,2,1))))</f>
        <v/>
      </c>
      <c r="G20" s="17">
        <f>IF(D20&gt;=12,5,IF(D20&gt;=8,4,IF(D20&gt;=5,3,IF(D20&gt;=2,2,1))))</f>
        <v/>
      </c>
      <c r="H20" s="17">
        <f>IF(E20&gt;=2000,5,IF(E20&gt;=1000,4,IF(E20&gt;=500,3,IF(E20&gt;=200,2,1))))</f>
        <v/>
      </c>
      <c r="I20" s="18">
        <f>F20*100+G20*10+H20</f>
        <v/>
      </c>
      <c r="J20" s="19">
        <f>IF(AND(F20&gt;=4,G20&gt;=4,H20&gt;=4),"Champions",IF(AND(F20&lt;=2,G20&gt;=3),"At risk",IF(F20&lt;=2,"Lost",IF(G20&gt;=4,"Loyal",IF(H20&gt;=4,"Big spender","Promising")))))</f>
        <v/>
      </c>
    </row>
    <row r="21">
      <c r="B21" s="14" t="inlineStr">
        <is>
          <t>C015</t>
        </is>
      </c>
      <c r="C21" s="15" t="n">
        <v>110</v>
      </c>
      <c r="D21" s="15" t="n">
        <v>3</v>
      </c>
      <c r="E21" s="16" t="n">
        <v>450</v>
      </c>
      <c r="F21" s="17">
        <f>IF(C21&lt;=30,5,IF(C21&lt;=60,4,IF(C21&lt;=120,3,IF(C21&lt;=240,2,1))))</f>
        <v/>
      </c>
      <c r="G21" s="17">
        <f>IF(D21&gt;=12,5,IF(D21&gt;=8,4,IF(D21&gt;=5,3,IF(D21&gt;=2,2,1))))</f>
        <v/>
      </c>
      <c r="H21" s="17">
        <f>IF(E21&gt;=2000,5,IF(E21&gt;=1000,4,IF(E21&gt;=500,3,IF(E21&gt;=200,2,1))))</f>
        <v/>
      </c>
      <c r="I21" s="18">
        <f>F21*100+G21*10+H21</f>
        <v/>
      </c>
      <c r="J21" s="19">
        <f>IF(AND(F21&gt;=4,G21&gt;=4,H21&gt;=4),"Champions",IF(AND(F21&lt;=2,G21&gt;=3),"At risk",IF(F21&lt;=2,"Lost",IF(G21&gt;=4,"Loyal",IF(H21&gt;=4,"Big spender","Promising")))))</f>
        <v/>
      </c>
    </row>
    <row r="23" ht="20" customHeight="1">
      <c r="B23" s="11" t="inlineStr">
        <is>
          <t>Segment summary</t>
        </is>
      </c>
    </row>
    <row r="24" ht="26" customHeight="1">
      <c r="B24" s="12" t="inlineStr">
        <is>
          <t>Segment</t>
        </is>
      </c>
      <c r="C24" s="13" t="inlineStr">
        <is>
          <t>Customers</t>
        </is>
      </c>
      <c r="D24" s="13" t="inlineStr">
        <is>
          <t>Avg spend (€)</t>
        </is>
      </c>
      <c r="E24" s="13" t="inlineStr"/>
    </row>
    <row r="25">
      <c r="B25" s="14" t="inlineStr">
        <is>
          <t>Champions</t>
        </is>
      </c>
      <c r="C25" s="20">
        <f>COUNTIF($J$7:$J$21,B25)</f>
        <v/>
      </c>
      <c r="D25" s="21">
        <f>IFERROR(AVERAGEIF($J$7:$J$21,B25,$E$7:$E$21),0)</f>
        <v/>
      </c>
      <c r="E25" s="22" t="n"/>
    </row>
    <row r="26">
      <c r="B26" s="14" t="inlineStr">
        <is>
          <t>Loyal</t>
        </is>
      </c>
      <c r="C26" s="20">
        <f>COUNTIF($J$7:$J$21,B26)</f>
        <v/>
      </c>
      <c r="D26" s="21">
        <f>IFERROR(AVERAGEIF($J$7:$J$21,B26,$E$7:$E$21),0)</f>
        <v/>
      </c>
      <c r="E26" s="22" t="n"/>
    </row>
    <row r="27">
      <c r="B27" s="14" t="inlineStr">
        <is>
          <t>Big spender</t>
        </is>
      </c>
      <c r="C27" s="20">
        <f>COUNTIF($J$7:$J$21,B27)</f>
        <v/>
      </c>
      <c r="D27" s="21">
        <f>IFERROR(AVERAGEIF($J$7:$J$21,B27,$E$7:$E$21),0)</f>
        <v/>
      </c>
      <c r="E27" s="22" t="n"/>
    </row>
    <row r="28">
      <c r="B28" s="14" t="inlineStr">
        <is>
          <t>Promising</t>
        </is>
      </c>
      <c r="C28" s="20">
        <f>COUNTIF($J$7:$J$21,B28)</f>
        <v/>
      </c>
      <c r="D28" s="21">
        <f>IFERROR(AVERAGEIF($J$7:$J$21,B28,$E$7:$E$21),0)</f>
        <v/>
      </c>
      <c r="E28" s="22" t="n"/>
    </row>
    <row r="29">
      <c r="B29" s="14" t="inlineStr">
        <is>
          <t>At risk</t>
        </is>
      </c>
      <c r="C29" s="20">
        <f>COUNTIF($J$7:$J$21,B29)</f>
        <v/>
      </c>
      <c r="D29" s="21">
        <f>IFERROR(AVERAGEIF($J$7:$J$21,B29,$E$7:$E$21),0)</f>
        <v/>
      </c>
      <c r="E29" s="22" t="n"/>
    </row>
    <row r="30">
      <c r="B30" s="14" t="inlineStr">
        <is>
          <t>Lost</t>
        </is>
      </c>
      <c r="C30" s="20">
        <f>COUNTIF($J$7:$J$21,B30)</f>
        <v/>
      </c>
      <c r="D30" s="21">
        <f>IFERROR(AVERAGEIF($J$7:$J$21,B30,$E$7:$E$21),0)</f>
        <v/>
      </c>
      <c r="E30" s="22" t="n"/>
    </row>
    <row r="32" ht="20" customHeight="1">
      <c r="B32" s="11" t="inlineStr">
        <is>
          <t>Key insight (auto-generated)</t>
        </is>
      </c>
    </row>
    <row r="33" ht="26" customHeight="1">
      <c r="B33" s="23">
        <f>"Champions and Loyal customers are the value core; At-risk and Lost segments flag who to win back before they churn for good."</f>
        <v/>
      </c>
    </row>
  </sheetData>
  <mergeCells count="6">
    <mergeCell ref="B2:J2"/>
    <mergeCell ref="B3:J3"/>
    <mergeCell ref="B5:J5"/>
    <mergeCell ref="B23:E23"/>
    <mergeCell ref="B32:J32"/>
    <mergeCell ref="B33:J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2026-09-07T20:59:42Z</dcterms:created>
  <dcterms:modified xmlns:dcterms="http://purl.org/dc/terms/" xmlns:xsi="http://www.w3.org/2001/XMLSchema-instance" xsi:type="dcterms:W3CDTF">2026-09-07T20:59:42Z</dcterms:modified>
</cp:coreProperties>
</file>