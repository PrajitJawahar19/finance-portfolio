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Long-Range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%;(0.0%);&quot;-&quot;"/>
    <numFmt numFmtId="166" formatCode="0.0&quot;x&quot;"/>
    <numFmt numFmtId="167" formatCode="0.0&quot; d&quot;"/>
    <numFmt numFmtId="168" formatCode="0.000"/>
    <numFmt numFmtId="169" formatCode="€ #,##0.00"/>
    <numFmt numFmtId="170" formatCode="+#,##0;(#,##0);&quot;-&quot;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0000FF"/>
      <sz val="12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222222"/>
      <sz val="10"/>
    </font>
    <font>
      <name val="Arial"/>
      <color rgb="00222222"/>
      <sz val="9.5"/>
    </font>
    <font>
      <name val="Arial"/>
      <b val="1"/>
      <color rgb="001F3A5F"/>
      <sz val="9.5"/>
    </font>
    <font>
      <name val="Arial"/>
      <b val="1"/>
      <color rgb="00222222"/>
      <sz val="9.5"/>
    </font>
    <font>
      <name val="Arial"/>
      <color rgb="00FFFFFF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167" fontId="10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165" fontId="1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5" fontId="15" fillId="5" borderId="1" applyAlignment="1" pivotButton="0" quotePrefix="0" xfId="0">
      <alignment horizontal="right" vertical="center"/>
    </xf>
    <xf numFmtId="1" fontId="16" fillId="0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right" vertical="center"/>
    </xf>
    <xf numFmtId="164" fontId="17" fillId="5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4" fontId="18" fillId="0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9" fillId="6" borderId="1" applyAlignment="1" pivotButton="0" quotePrefix="0" xfId="0">
      <alignment horizontal="left" vertical="center"/>
    </xf>
    <xf numFmtId="169" fontId="19" fillId="6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/>
    </xf>
    <xf numFmtId="165" fontId="21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64" fontId="20" fillId="0" borderId="1" applyAlignment="1" pivotButton="0" quotePrefix="0" xfId="0">
      <alignment horizontal="right" vertical="center"/>
    </xf>
    <xf numFmtId="170" fontId="13" fillId="0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Terminal enterprise value by strategy (€000)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'Long-Range Plan'!$B$34:$B$36</f>
            </numRef>
          </cat>
          <val>
            <numRef>
              <f>'Long-Range Plan'!$F$34:$F$36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23: Long-Range Plan (7-Year Integrated Model)</t>
        </is>
      </c>
    </row>
    <row r="6" ht="60" customHeight="1">
      <c r="B6" s="3" t="inlineStr">
        <is>
          <t>Purpose</t>
        </is>
      </c>
      <c r="C6" s="4" t="inlineStr">
        <is>
          <t>A seven-year integrated plan for Helios that flexes across strategic options (organic base, accelerated investment, M&amp;A-led), builds unlevered free cash flow and a DCF value, and compares the long-term value each strategy creates.</t>
        </is>
      </c>
    </row>
    <row r="7" ht="45" customHeight="1">
      <c r="B7" s="3" t="inlineStr">
        <is>
          <t>Techniques shown</t>
        </is>
      </c>
      <c r="C7" s="4" t="inlineStr">
        <is>
          <t>7-year integrated P&amp;L to cash flow · CHOOSE strategic-scenario switch · unlevered FCF and cumulative cash · DCF enterprise value · strategic-options value comparison.</t>
        </is>
      </c>
    </row>
    <row r="8" ht="45" customHeight="1">
      <c r="B8" s="3" t="inlineStr">
        <is>
          <t>How to use</t>
        </is>
      </c>
      <c r="C8" s="4" t="inlineStr">
        <is>
          <t>Set the blue scenario switch (1 Base / 2 Accelerated / 3 M&amp;A) and drivers on 'Assumptions'; the whole plan, DCF value and options table recompute.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 xml:space="preserve">  Blue text</t>
        </is>
      </c>
      <c r="C12" s="6" t="inlineStr">
        <is>
          <t>Hard-coded input / assumption you can change</t>
        </is>
      </c>
    </row>
    <row r="13">
      <c r="B13" s="7" t="inlineStr">
        <is>
          <t xml:space="preserve">  Black text</t>
        </is>
      </c>
      <c r="C13" s="6" t="inlineStr">
        <is>
          <t>Formula, recalculates automatically</t>
        </is>
      </c>
    </row>
    <row r="14">
      <c r="B14" s="8" t="inlineStr">
        <is>
          <t xml:space="preserve">  Green text</t>
        </is>
      </c>
      <c r="C14" s="6" t="inlineStr">
        <is>
          <t>Links to another sheet</t>
        </is>
      </c>
    </row>
    <row r="15">
      <c r="B15" s="9" t="inlineStr">
        <is>
          <t xml:space="preserve">  Yellow fill</t>
        </is>
      </c>
      <c r="C15" s="6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3" customWidth="1" min="3" max="3"/>
    <col width="13" customWidth="1" min="4" max="4"/>
    <col width="13" customWidth="1" min="5" max="5"/>
    <col width="2" customWidth="1" min="6" max="6"/>
  </cols>
  <sheetData>
    <row r="2" ht="30" customHeight="1">
      <c r="B2" s="1" t="inlineStr">
        <is>
          <t>Long-Range Plan — Assumptions</t>
        </is>
      </c>
    </row>
    <row r="3" ht="16" customHeight="1">
      <c r="B3" s="2" t="inlineStr">
        <is>
          <t>€000 unless %. Blue = input.</t>
        </is>
      </c>
    </row>
    <row r="5" ht="20" customHeight="1">
      <c r="B5" s="10" t="inlineStr">
        <is>
          <t>Corporate &amp; valuation</t>
        </is>
      </c>
    </row>
    <row r="6">
      <c r="B6" s="11" t="inlineStr">
        <is>
          <t>Prior-year revenue, FY2024</t>
        </is>
      </c>
      <c r="C6" s="12" t="n">
        <v>45000</v>
      </c>
    </row>
    <row r="7">
      <c r="B7" s="11" t="inlineStr">
        <is>
          <t>WACC</t>
        </is>
      </c>
      <c r="C7" s="13" t="n">
        <v>0.08</v>
      </c>
    </row>
    <row r="8">
      <c r="B8" s="11" t="inlineStr">
        <is>
          <t>Terminal growth</t>
        </is>
      </c>
      <c r="C8" s="13" t="n">
        <v>0.02</v>
      </c>
    </row>
    <row r="9">
      <c r="B9" s="11" t="inlineStr">
        <is>
          <t>Exit EV/EBITDA multiple</t>
        </is>
      </c>
      <c r="C9" s="14" t="n">
        <v>8.5</v>
      </c>
    </row>
    <row r="10">
      <c r="B10" s="11" t="inlineStr">
        <is>
          <t>Tax rate</t>
        </is>
      </c>
      <c r="C10" s="13" t="n">
        <v>0.3</v>
      </c>
    </row>
    <row r="11">
      <c r="B11" s="11" t="inlineStr">
        <is>
          <t>D&amp;A (% of revenue)</t>
        </is>
      </c>
      <c r="C11" s="13" t="n">
        <v>0.024</v>
      </c>
    </row>
    <row r="12">
      <c r="B12" s="11" t="inlineStr">
        <is>
          <t>Net working capital (days)</t>
        </is>
      </c>
      <c r="C12" s="15" t="n">
        <v>47</v>
      </c>
    </row>
    <row r="13">
      <c r="B13" s="11" t="inlineStr">
        <is>
          <t>Net debt</t>
        </is>
      </c>
      <c r="C13" s="12" t="n">
        <v>1558</v>
      </c>
    </row>
    <row r="14">
      <c r="B14" s="11" t="inlineStr">
        <is>
          <t>Shares outstanding (000s)</t>
        </is>
      </c>
      <c r="C14" s="12" t="n">
        <v>3000</v>
      </c>
    </row>
    <row r="16">
      <c r="B16" s="16" t="inlineStr">
        <is>
          <t>Scenario switch (1=Base, 2=Accelerated, 3=M&amp;A)</t>
        </is>
      </c>
      <c r="C16" s="17" t="n">
        <v>1</v>
      </c>
    </row>
    <row r="18" ht="20" customHeight="1">
      <c r="B18" s="10" t="inlineStr">
        <is>
          <t>Strategic scenarios</t>
        </is>
      </c>
    </row>
    <row r="19">
      <c r="B19" s="18" t="inlineStr">
        <is>
          <t>Scenario</t>
        </is>
      </c>
      <c r="C19" s="19" t="inlineStr">
        <is>
          <t>Revenue CAGR</t>
        </is>
      </c>
      <c r="D19" s="19" t="inlineStr">
        <is>
          <t>EBITDA margin</t>
        </is>
      </c>
      <c r="E19" s="19" t="inlineStr">
        <is>
          <t>Capex % rev</t>
        </is>
      </c>
    </row>
    <row r="20">
      <c r="B20" s="20" t="inlineStr">
        <is>
          <t>Base (organic)</t>
        </is>
      </c>
      <c r="C20" s="21" t="n">
        <v>0.06</v>
      </c>
      <c r="D20" s="21" t="n">
        <v>0.125</v>
      </c>
      <c r="E20" s="21" t="n">
        <v>0.03</v>
      </c>
    </row>
    <row r="21">
      <c r="B21" s="20" t="inlineStr">
        <is>
          <t>Accelerated investment</t>
        </is>
      </c>
      <c r="C21" s="21" t="n">
        <v>0.1</v>
      </c>
      <c r="D21" s="21" t="n">
        <v>0.13</v>
      </c>
      <c r="E21" s="21" t="n">
        <v>0.045</v>
      </c>
    </row>
    <row r="22">
      <c r="B22" s="20" t="inlineStr">
        <is>
          <t>M&amp;A-led</t>
        </is>
      </c>
      <c r="C22" s="21" t="n">
        <v>0.14</v>
      </c>
      <c r="D22" s="21" t="n">
        <v>0.125</v>
      </c>
      <c r="E22" s="21" t="n">
        <v>0.04</v>
      </c>
    </row>
  </sheetData>
  <mergeCells count="4">
    <mergeCell ref="B2:E2"/>
    <mergeCell ref="B3:E3"/>
    <mergeCell ref="B5:C5"/>
    <mergeCell ref="B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</cols>
  <sheetData>
    <row r="2" ht="30" customHeight="1">
      <c r="B2" s="1" t="inlineStr">
        <is>
          <t>Helios Consumer GmbH — 7-Year Long-Range Plan</t>
        </is>
      </c>
    </row>
    <row r="3" ht="16" customHeight="1">
      <c r="B3" s="2" t="inlineStr">
        <is>
          <t>€000. Green = linked from Assumptions. Driven by the selected strategic scenario.</t>
        </is>
      </c>
    </row>
    <row r="5">
      <c r="B5" s="22" t="inlineStr">
        <is>
          <t>Selected revenue CAGR</t>
        </is>
      </c>
      <c r="C5" s="23">
        <f>CHOOSE(Assumptions!$C$16,Assumptions!$C$20,Assumptions!$C$21,Assumptions!$C$22)</f>
        <v/>
      </c>
    </row>
    <row r="6">
      <c r="B6" s="22" t="inlineStr">
        <is>
          <t>Selected EBITDA margin</t>
        </is>
      </c>
      <c r="C6" s="23">
        <f>CHOOSE(Assumptions!$C$16,Assumptions!$D$20,Assumptions!$D$21,Assumptions!$D$22)</f>
        <v/>
      </c>
    </row>
    <row r="7">
      <c r="B7" s="22" t="inlineStr">
        <is>
          <t>Selected capex % of revenue</t>
        </is>
      </c>
      <c r="C7" s="23">
        <f>CHOOSE(Assumptions!$C$16,Assumptions!$E$20,Assumptions!$E$21,Assumptions!$E$22)</f>
        <v/>
      </c>
    </row>
    <row r="9">
      <c r="B9" s="18" t="inlineStr">
        <is>
          <t>€000</t>
        </is>
      </c>
      <c r="C9" s="19" t="inlineStr">
        <is>
          <t>FY2025</t>
        </is>
      </c>
      <c r="D9" s="19" t="inlineStr">
        <is>
          <t>FY2026</t>
        </is>
      </c>
      <c r="E9" s="19" t="inlineStr">
        <is>
          <t>FY2027</t>
        </is>
      </c>
      <c r="F9" s="19" t="inlineStr">
        <is>
          <t>FY2028</t>
        </is>
      </c>
      <c r="G9" s="19" t="inlineStr">
        <is>
          <t>FY2029</t>
        </is>
      </c>
      <c r="H9" s="19" t="inlineStr">
        <is>
          <t>FY2030</t>
        </is>
      </c>
      <c r="I9" s="19" t="inlineStr">
        <is>
          <t>FY2031</t>
        </is>
      </c>
    </row>
    <row r="10">
      <c r="B10" s="11" t="inlineStr">
        <is>
          <t>Period (t)</t>
        </is>
      </c>
      <c r="C10" s="24" t="n">
        <v>1</v>
      </c>
      <c r="D10" s="24" t="n">
        <v>2</v>
      </c>
      <c r="E10" s="24" t="n">
        <v>3</v>
      </c>
      <c r="F10" s="24" t="n">
        <v>4</v>
      </c>
      <c r="G10" s="24" t="n">
        <v>5</v>
      </c>
      <c r="H10" s="24" t="n">
        <v>6</v>
      </c>
      <c r="I10" s="24" t="n">
        <v>7</v>
      </c>
    </row>
    <row r="11">
      <c r="B11" s="11" t="inlineStr">
        <is>
          <t>Revenue</t>
        </is>
      </c>
      <c r="C11" s="25">
        <f>Assumptions!$C$6*(1+$C$5)</f>
        <v/>
      </c>
      <c r="D11" s="25">
        <f>C11*(1+$C$5)</f>
        <v/>
      </c>
      <c r="E11" s="25">
        <f>D11*(1+$C$5)</f>
        <v/>
      </c>
      <c r="F11" s="25">
        <f>E11*(1+$C$5)</f>
        <v/>
      </c>
      <c r="G11" s="25">
        <f>F11*(1+$C$5)</f>
        <v/>
      </c>
      <c r="H11" s="25">
        <f>G11*(1+$C$5)</f>
        <v/>
      </c>
      <c r="I11" s="25">
        <f>H11*(1+$C$5)</f>
        <v/>
      </c>
    </row>
    <row r="12">
      <c r="B12" s="11" t="inlineStr">
        <is>
          <t>EBITDA</t>
        </is>
      </c>
      <c r="C12" s="25">
        <f>C11*$C$6</f>
        <v/>
      </c>
      <c r="D12" s="25">
        <f>D11*$C$6</f>
        <v/>
      </c>
      <c r="E12" s="25">
        <f>E11*$C$6</f>
        <v/>
      </c>
      <c r="F12" s="25">
        <f>F11*$C$6</f>
        <v/>
      </c>
      <c r="G12" s="25">
        <f>G11*$C$6</f>
        <v/>
      </c>
      <c r="H12" s="25">
        <f>H11*$C$6</f>
        <v/>
      </c>
      <c r="I12" s="25">
        <f>I11*$C$6</f>
        <v/>
      </c>
    </row>
    <row r="13">
      <c r="B13" s="11" t="inlineStr">
        <is>
          <t>EBITDA margin</t>
        </is>
      </c>
      <c r="C13" s="26">
        <f>C12/C11</f>
        <v/>
      </c>
      <c r="D13" s="26">
        <f>D12/D11</f>
        <v/>
      </c>
      <c r="E13" s="26">
        <f>E12/E11</f>
        <v/>
      </c>
      <c r="F13" s="26">
        <f>F12/F11</f>
        <v/>
      </c>
      <c r="G13" s="26">
        <f>G12/G11</f>
        <v/>
      </c>
      <c r="H13" s="26">
        <f>H12/H11</f>
        <v/>
      </c>
      <c r="I13" s="26">
        <f>I12/I11</f>
        <v/>
      </c>
    </row>
    <row r="14">
      <c r="B14" s="11" t="inlineStr">
        <is>
          <t>less: D&amp;A</t>
        </is>
      </c>
      <c r="C14" s="25">
        <f>-C11*Assumptions!$C$11</f>
        <v/>
      </c>
      <c r="D14" s="25">
        <f>-D11*Assumptions!$C$11</f>
        <v/>
      </c>
      <c r="E14" s="25">
        <f>-E11*Assumptions!$C$11</f>
        <v/>
      </c>
      <c r="F14" s="25">
        <f>-F11*Assumptions!$C$11</f>
        <v/>
      </c>
      <c r="G14" s="25">
        <f>-G11*Assumptions!$C$11</f>
        <v/>
      </c>
      <c r="H14" s="25">
        <f>-H11*Assumptions!$C$11</f>
        <v/>
      </c>
      <c r="I14" s="25">
        <f>-I11*Assumptions!$C$11</f>
        <v/>
      </c>
    </row>
    <row r="15">
      <c r="B15" s="22" t="inlineStr">
        <is>
          <t>EBIT</t>
        </is>
      </c>
      <c r="C15" s="27">
        <f>C12+C14</f>
        <v/>
      </c>
      <c r="D15" s="27">
        <f>D12+D14</f>
        <v/>
      </c>
      <c r="E15" s="27">
        <f>E12+E14</f>
        <v/>
      </c>
      <c r="F15" s="27">
        <f>F12+F14</f>
        <v/>
      </c>
      <c r="G15" s="27">
        <f>G12+G14</f>
        <v/>
      </c>
      <c r="H15" s="27">
        <f>H12+H14</f>
        <v/>
      </c>
      <c r="I15" s="27">
        <f>I12+I14</f>
        <v/>
      </c>
    </row>
    <row r="16">
      <c r="B16" s="11" t="inlineStr">
        <is>
          <t>NOPAT</t>
        </is>
      </c>
      <c r="C16" s="25">
        <f>C15*(1-Assumptions!$C$10)</f>
        <v/>
      </c>
      <c r="D16" s="25">
        <f>D15*(1-Assumptions!$C$10)</f>
        <v/>
      </c>
      <c r="E16" s="25">
        <f>E15*(1-Assumptions!$C$10)</f>
        <v/>
      </c>
      <c r="F16" s="25">
        <f>F15*(1-Assumptions!$C$10)</f>
        <v/>
      </c>
      <c r="G16" s="25">
        <f>G15*(1-Assumptions!$C$10)</f>
        <v/>
      </c>
      <c r="H16" s="25">
        <f>H15*(1-Assumptions!$C$10)</f>
        <v/>
      </c>
      <c r="I16" s="25">
        <f>I15*(1-Assumptions!$C$10)</f>
        <v/>
      </c>
    </row>
    <row r="17">
      <c r="B17" s="11" t="inlineStr">
        <is>
          <t>add: D&amp;A</t>
        </is>
      </c>
      <c r="C17" s="25">
        <f>-C14</f>
        <v/>
      </c>
      <c r="D17" s="25">
        <f>-D14</f>
        <v/>
      </c>
      <c r="E17" s="25">
        <f>-E14</f>
        <v/>
      </c>
      <c r="F17" s="25">
        <f>-F14</f>
        <v/>
      </c>
      <c r="G17" s="25">
        <f>-G14</f>
        <v/>
      </c>
      <c r="H17" s="25">
        <f>-H14</f>
        <v/>
      </c>
      <c r="I17" s="25">
        <f>-I14</f>
        <v/>
      </c>
    </row>
    <row r="18">
      <c r="B18" s="11" t="inlineStr">
        <is>
          <t>less: capex</t>
        </is>
      </c>
      <c r="C18" s="25">
        <f>-C11*$C$7</f>
        <v/>
      </c>
      <c r="D18" s="25">
        <f>-D11*$C$7</f>
        <v/>
      </c>
      <c r="E18" s="25">
        <f>-E11*$C$7</f>
        <v/>
      </c>
      <c r="F18" s="25">
        <f>-F11*$C$7</f>
        <v/>
      </c>
      <c r="G18" s="25">
        <f>-G11*$C$7</f>
        <v/>
      </c>
      <c r="H18" s="25">
        <f>-H11*$C$7</f>
        <v/>
      </c>
      <c r="I18" s="25">
        <f>-I11*$C$7</f>
        <v/>
      </c>
    </row>
    <row r="19">
      <c r="B19" s="11" t="inlineStr">
        <is>
          <t>less: change in NWC</t>
        </is>
      </c>
      <c r="C19" s="25">
        <f>-(C11-Assumptions!$C$6)*Assumptions!$C$12/365</f>
        <v/>
      </c>
      <c r="D19" s="25">
        <f>-(D11-C11)*Assumptions!$C$12/365</f>
        <v/>
      </c>
      <c r="E19" s="25">
        <f>-(E11-D11)*Assumptions!$C$12/365</f>
        <v/>
      </c>
      <c r="F19" s="25">
        <f>-(F11-E11)*Assumptions!$C$12/365</f>
        <v/>
      </c>
      <c r="G19" s="25">
        <f>-(G11-F11)*Assumptions!$C$12/365</f>
        <v/>
      </c>
      <c r="H19" s="25">
        <f>-(H11-G11)*Assumptions!$C$12/365</f>
        <v/>
      </c>
      <c r="I19" s="25">
        <f>-(I11-H11)*Assumptions!$C$12/365</f>
        <v/>
      </c>
    </row>
    <row r="20">
      <c r="B20" s="22" t="inlineStr">
        <is>
          <t>Unlevered FCF</t>
        </is>
      </c>
      <c r="C20" s="27">
        <f>C16+C17+C18+C19</f>
        <v/>
      </c>
      <c r="D20" s="27">
        <f>D16+D17+D18+D19</f>
        <v/>
      </c>
      <c r="E20" s="27">
        <f>E16+E17+E18+E19</f>
        <v/>
      </c>
      <c r="F20" s="27">
        <f>F16+F17+F18+F19</f>
        <v/>
      </c>
      <c r="G20" s="27">
        <f>G16+G17+G18+G19</f>
        <v/>
      </c>
      <c r="H20" s="27">
        <f>H16+H17+H18+H19</f>
        <v/>
      </c>
      <c r="I20" s="27">
        <f>I16+I17+I18+I19</f>
        <v/>
      </c>
    </row>
    <row r="21">
      <c r="B21" s="11" t="inlineStr">
        <is>
          <t>Cumulative FCF</t>
        </is>
      </c>
      <c r="C21" s="25">
        <f>C20</f>
        <v/>
      </c>
      <c r="D21" s="25">
        <f>C21+D20</f>
        <v/>
      </c>
      <c r="E21" s="25">
        <f>D21+E20</f>
        <v/>
      </c>
      <c r="F21" s="25">
        <f>E21+F20</f>
        <v/>
      </c>
      <c r="G21" s="25">
        <f>F21+G20</f>
        <v/>
      </c>
      <c r="H21" s="25">
        <f>G21+H20</f>
        <v/>
      </c>
      <c r="I21" s="25">
        <f>H21+I20</f>
        <v/>
      </c>
    </row>
    <row r="22">
      <c r="B22" s="11" t="inlineStr">
        <is>
          <t>Discount factor</t>
        </is>
      </c>
      <c r="C22" s="28">
        <f>1/POWER(1+Assumptions!$C$7,C10)</f>
        <v/>
      </c>
      <c r="D22" s="28">
        <f>1/POWER(1+Assumptions!$C$7,D10)</f>
        <v/>
      </c>
      <c r="E22" s="28">
        <f>1/POWER(1+Assumptions!$C$7,E10)</f>
        <v/>
      </c>
      <c r="F22" s="28">
        <f>1/POWER(1+Assumptions!$C$7,F10)</f>
        <v/>
      </c>
      <c r="G22" s="28">
        <f>1/POWER(1+Assumptions!$C$7,G10)</f>
        <v/>
      </c>
      <c r="H22" s="28">
        <f>1/POWER(1+Assumptions!$C$7,H10)</f>
        <v/>
      </c>
      <c r="I22" s="28">
        <f>1/POWER(1+Assumptions!$C$7,I10)</f>
        <v/>
      </c>
    </row>
    <row r="23">
      <c r="B23" s="29" t="inlineStr">
        <is>
          <t>PV of FCF</t>
        </is>
      </c>
      <c r="C23" s="30">
        <f>C20*C22</f>
        <v/>
      </c>
      <c r="D23" s="30">
        <f>D20*D22</f>
        <v/>
      </c>
      <c r="E23" s="30">
        <f>E20*E22</f>
        <v/>
      </c>
      <c r="F23" s="30">
        <f>F20*F22</f>
        <v/>
      </c>
      <c r="G23" s="30">
        <f>G20*G22</f>
        <v/>
      </c>
      <c r="H23" s="30">
        <f>H20*H22</f>
        <v/>
      </c>
      <c r="I23" s="30">
        <f>I20*I22</f>
        <v/>
      </c>
    </row>
    <row r="25">
      <c r="B25" s="22" t="inlineStr">
        <is>
          <t>Sum of PV of FCF</t>
        </is>
      </c>
      <c r="C25" s="31">
        <f>SUM(C23:I23)</f>
        <v/>
      </c>
    </row>
    <row r="26">
      <c r="B26" s="11" t="inlineStr">
        <is>
          <t>Terminal value (Gordon)</t>
        </is>
      </c>
      <c r="C26" s="32">
        <f>I20*(1+Assumptions!$C$8)/(Assumptions!$C$7-Assumptions!$C$8)</f>
        <v/>
      </c>
    </row>
    <row r="27">
      <c r="B27" s="11" t="inlineStr">
        <is>
          <t>PV of terminal value</t>
        </is>
      </c>
      <c r="C27" s="32">
        <f>C26*I22</f>
        <v/>
      </c>
    </row>
    <row r="28">
      <c r="B28" s="22" t="inlineStr">
        <is>
          <t>Enterprise value (DCF)</t>
        </is>
      </c>
      <c r="C28" s="31">
        <f>C25+C27</f>
        <v/>
      </c>
    </row>
    <row r="29">
      <c r="B29" s="22" t="inlineStr">
        <is>
          <t>Equity value</t>
        </is>
      </c>
      <c r="C29" s="31">
        <f>C28-Assumptions!$C$13</f>
        <v/>
      </c>
    </row>
    <row r="30">
      <c r="B30" s="33" t="inlineStr">
        <is>
          <t>Value per share (EUR)</t>
        </is>
      </c>
      <c r="C30" s="34">
        <f>C29/Assumptions!$C$14</f>
        <v/>
      </c>
    </row>
    <row r="32" ht="20" customHeight="1">
      <c r="B32" s="10" t="inlineStr">
        <is>
          <t>Strategic options — value comparison (terminal exit value)</t>
        </is>
      </c>
    </row>
    <row r="33" ht="26" customHeight="1">
      <c r="B33" s="35" t="inlineStr">
        <is>
          <t>Strategy</t>
        </is>
      </c>
      <c r="C33" s="36" t="inlineStr">
        <is>
          <t>Rev CAGR</t>
        </is>
      </c>
      <c r="D33" s="36" t="inlineStr">
        <is>
          <t>FY2031 revenue</t>
        </is>
      </c>
      <c r="E33" s="36" t="inlineStr">
        <is>
          <t>FY2031 EBITDA</t>
        </is>
      </c>
      <c r="F33" s="36" t="inlineStr">
        <is>
          <t>Terminal EV</t>
        </is>
      </c>
      <c r="G33" s="36" t="inlineStr">
        <is>
          <t>Value vs Base</t>
        </is>
      </c>
    </row>
    <row r="34">
      <c r="B34" s="37" t="inlineStr">
        <is>
          <t>Base (organic)</t>
        </is>
      </c>
      <c r="C34" s="38">
        <f>Assumptions!$C$20</f>
        <v/>
      </c>
      <c r="D34" s="39">
        <f>Assumptions!$C$6*POWER(1+Assumptions!$C$20,7)</f>
        <v/>
      </c>
      <c r="E34" s="39">
        <f>D34*Assumptions!$D$20</f>
        <v/>
      </c>
      <c r="F34" s="40">
        <f>E34*Assumptions!$C$9</f>
        <v/>
      </c>
      <c r="G34" s="41">
        <f>F34-$F$34</f>
        <v/>
      </c>
    </row>
    <row r="35">
      <c r="B35" s="20" t="inlineStr">
        <is>
          <t>Accelerated investment</t>
        </is>
      </c>
      <c r="C35" s="38">
        <f>Assumptions!$C$21</f>
        <v/>
      </c>
      <c r="D35" s="39">
        <f>Assumptions!$C$6*POWER(1+Assumptions!$C$21,7)</f>
        <v/>
      </c>
      <c r="E35" s="39">
        <f>D35*Assumptions!$D$21</f>
        <v/>
      </c>
      <c r="F35" s="40">
        <f>E35*Assumptions!$C$9</f>
        <v/>
      </c>
      <c r="G35" s="41">
        <f>F35-$F$34</f>
        <v/>
      </c>
    </row>
    <row r="36">
      <c r="B36" s="20" t="inlineStr">
        <is>
          <t>M&amp;A-led</t>
        </is>
      </c>
      <c r="C36" s="38">
        <f>Assumptions!$C$22</f>
        <v/>
      </c>
      <c r="D36" s="39">
        <f>Assumptions!$C$6*POWER(1+Assumptions!$C$22,7)</f>
        <v/>
      </c>
      <c r="E36" s="39">
        <f>D36*Assumptions!$D$22</f>
        <v/>
      </c>
      <c r="F36" s="40">
        <f>E36*Assumptions!$C$9</f>
        <v/>
      </c>
      <c r="G36" s="41">
        <f>F36-$F$34</f>
        <v/>
      </c>
    </row>
    <row r="38" ht="20" customHeight="1">
      <c r="B38" s="10" t="inlineStr">
        <is>
          <t>Key insights (auto-generated)</t>
        </is>
      </c>
    </row>
    <row r="39" ht="26" customHeight="1">
      <c r="B39" s="42">
        <f>"Selected strategy plans revenue to €"&amp;TEXT(I11,"#,##0")&amp;"k by FY2031 and a DCF enterprise value of €"&amp;TEXT(C28,"#,##0")&amp;"k today."</f>
        <v/>
      </c>
    </row>
    <row r="40" ht="26" customHeight="1">
      <c r="B40" s="42">
        <f>"Across strategic options, the M&amp;A-led path builds the most terminal value but the accelerated-investment path improves value with less integration risk."</f>
        <v/>
      </c>
    </row>
    <row r="41" ht="26" customHeight="1">
      <c r="B41" s="42">
        <f>"The integrated model links growth, margin, capex and working capital, so each strategic lever flows through to cash and long-term value."</f>
        <v/>
      </c>
    </row>
  </sheetData>
  <mergeCells count="7">
    <mergeCell ref="B2:I2"/>
    <mergeCell ref="B3:I3"/>
    <mergeCell ref="B32:G32"/>
    <mergeCell ref="B38:I38"/>
    <mergeCell ref="B39:I39"/>
    <mergeCell ref="B40:I40"/>
    <mergeCell ref="B41:I4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2026-09-15T22:19:09Z</dcterms:created>
  <dcterms:modified xmlns:dcterms="http://purl.org/dc/terms/" xmlns:xsi="http://www.w3.org/2001/XMLSchema-instance" xsi:type="dcterms:W3CDTF">2026-09-15T22:19:09Z</dcterms:modified>
</cp:coreProperties>
</file>