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;(0.0%);&quot;-&quot;"/>
    <numFmt numFmtId="166" formatCode="0.0&quot;x&quot;"/>
    <numFmt numFmtId="167" formatCode="0.0&quot; d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333333"/>
      <sz val="9.5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164" fontId="12" fillId="4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3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167" fontId="13" fillId="2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Margin Trend by Quarter</a:t>
            </a:r>
          </a:p>
        </rich>
      </tx>
    </title>
    <plotArea>
      <lineChart>
        <grouping val="standard"/>
        <ser>
          <idx val="0"/>
          <order val="0"/>
          <tx>
            <strRef>
              <f>'KPI Dashboard'!B20</f>
            </strRef>
          </tx>
          <spPr>
            <a:ln xmlns:a="http://schemas.openxmlformats.org/drawingml/2006/main" w="26000">
              <a:solidFill>
                <a:srgbClr val="1F3A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Dashboard'!$C$19:$F$19</f>
            </numRef>
          </cat>
          <val>
            <numRef>
              <f>'KPI Dashboard'!$C$20:$F$20</f>
            </numRef>
          </val>
        </ser>
        <ser>
          <idx val="1"/>
          <order val="1"/>
          <tx>
            <strRef>
              <f>'KPI Dashboard'!B21</f>
            </strRef>
          </tx>
          <spPr>
            <a:ln xmlns:a="http://schemas.openxmlformats.org/drawingml/2006/main" w="26000">
              <a:solidFill>
                <a:srgbClr val="17B8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Dashboard'!$C$19:$F$19</f>
            </numRef>
          </cat>
          <val>
            <numRef>
              <f>'KPI Dashboard'!$C$21:$F$21</f>
            </numRef>
          </val>
        </ser>
        <ser>
          <idx val="2"/>
          <order val="2"/>
          <tx>
            <strRef>
              <f>'KPI Dashboard'!B22</f>
            </strRef>
          </tx>
          <spPr>
            <a:ln xmlns:a="http://schemas.openxmlformats.org/drawingml/2006/main" w="26000">
              <a:solidFill>
                <a:srgbClr val="9AA7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Dashboard'!$C$19:$F$19</f>
            </numRef>
          </cat>
          <val>
            <numRef>
              <f>'KPI Dashboard'!$C$22:$F$22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Conversion Cycle (days)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Dashboard'!B29</f>
            </strRef>
          </tx>
          <spPr>
            <a:solidFill xmlns:a="http://schemas.openxmlformats.org/drawingml/2006/main">
              <a:srgbClr val="2E5A88"/>
            </a:solidFill>
            <a:ln xmlns:a="http://schemas.openxmlformats.org/drawingml/2006/main">
              <a:prstDash val="solid"/>
            </a:ln>
          </spPr>
          <cat>
            <numRef>
              <f>'KPI Dashboard'!$C$19:$F$19</f>
            </numRef>
          </cat>
          <val>
            <numRef>
              <f>'KPI Dashboard'!$C$29:$F$29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7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FP&amp;A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05: Financial KPI Dashboard (FY2025)</t>
        </is>
      </c>
    </row>
    <row r="6" ht="60" customHeight="1">
      <c r="B6" s="3" t="inlineStr">
        <is>
          <t>Purpose</t>
        </is>
      </c>
      <c r="C6" s="4" t="inlineStr">
        <is>
          <t>Translate the quarterly financials into the metrics a business actually steers by: margins, liquidity, and the cash-conversion cycle, each tracked across the four quarters with a full-year read and plain-language takeaways.</t>
        </is>
      </c>
    </row>
    <row r="7" ht="45" customHeight="1">
      <c r="B7" s="3" t="inlineStr">
        <is>
          <t>Techniques shown</t>
        </is>
      </c>
      <c r="C7" s="4" t="inlineStr">
        <is>
          <t>Profitability, liquidity &amp; working-capital KPIs from raw inputs · quarter-over-quarter trend · full-year roll-up · KPI cards · cash-conversion-cycle bridge · insights.</t>
        </is>
      </c>
    </row>
    <row r="8" ht="45" customHeight="1">
      <c r="B8" s="3" t="inlineStr">
        <is>
          <t>How to use</t>
        </is>
      </c>
      <c r="C8" s="4" t="inlineStr">
        <is>
          <t>Update the blue quarterly inputs in the 'Data' block, and every ratio, the trend row and the written insights recompute. Days basis is 91.25 per quarter.</t>
        </is>
      </c>
    </row>
    <row r="9" ht="30" customHeight="1">
      <c r="B9" s="3" t="inlineStr">
        <is>
          <t>Currency / units</t>
        </is>
      </c>
      <c r="C9" s="4" t="inlineStr">
        <is>
          <t>All figures in EUR thousands (€000) unless stated.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2" customWidth="1" min="8" max="8"/>
  </cols>
  <sheetData>
    <row r="2" ht="30" customHeight="1">
      <c r="B2" s="1" t="inlineStr">
        <is>
          <t>Helios Consumer GmbH: FY2025 Financial KPI Dashboard</t>
        </is>
      </c>
    </row>
    <row r="3" ht="16" customHeight="1">
      <c r="B3" s="2" t="inlineStr">
        <is>
          <t>€000 unless shown. Blue = input (from quarterly accounts). Days basis = 91.25/quarter, 365/year.</t>
        </is>
      </c>
    </row>
    <row r="5" ht="20" customHeight="1">
      <c r="B5" s="11" t="inlineStr">
        <is>
          <t>Quarterly data inputs (€000)</t>
        </is>
      </c>
    </row>
    <row r="6">
      <c r="B6" s="12" t="inlineStr">
        <is>
          <t>Item</t>
        </is>
      </c>
      <c r="C6" s="13" t="inlineStr">
        <is>
          <t>Q1</t>
        </is>
      </c>
      <c r="D6" s="13" t="inlineStr">
        <is>
          <t>Q2</t>
        </is>
      </c>
      <c r="E6" s="13" t="inlineStr">
        <is>
          <t>Q3</t>
        </is>
      </c>
      <c r="F6" s="13" t="inlineStr">
        <is>
          <t>Q4</t>
        </is>
      </c>
      <c r="G6" s="13" t="inlineStr">
        <is>
          <t>FY2025</t>
        </is>
      </c>
    </row>
    <row r="7">
      <c r="B7" s="14" t="inlineStr">
        <is>
          <t>Revenue</t>
        </is>
      </c>
      <c r="C7" s="15" t="n">
        <v>11300</v>
      </c>
      <c r="D7" s="15" t="n">
        <v>12000</v>
      </c>
      <c r="E7" s="15" t="n">
        <v>12400</v>
      </c>
      <c r="F7" s="15" t="n">
        <v>13800</v>
      </c>
      <c r="G7" s="16">
        <f>SUM(C7:F7)</f>
        <v/>
      </c>
    </row>
    <row r="8">
      <c r="B8" s="17" t="inlineStr">
        <is>
          <t>Cost of goods sold</t>
        </is>
      </c>
      <c r="C8" s="15" t="n">
        <v>6900</v>
      </c>
      <c r="D8" s="15" t="n">
        <v>7320</v>
      </c>
      <c r="E8" s="15" t="n">
        <v>7540</v>
      </c>
      <c r="F8" s="15" t="n">
        <v>8340</v>
      </c>
      <c r="G8" s="18">
        <f>SUM(C8:F8)</f>
        <v/>
      </c>
    </row>
    <row r="9">
      <c r="B9" s="14" t="inlineStr">
        <is>
          <t>EBITDA</t>
        </is>
      </c>
      <c r="C9" s="15" t="n">
        <v>1300</v>
      </c>
      <c r="D9" s="15" t="n">
        <v>1550</v>
      </c>
      <c r="E9" s="15" t="n">
        <v>1600</v>
      </c>
      <c r="F9" s="15" t="n">
        <v>1800</v>
      </c>
      <c r="G9" s="16">
        <f>SUM(C9:F9)</f>
        <v/>
      </c>
    </row>
    <row r="10">
      <c r="B10" s="17" t="inlineStr">
        <is>
          <t>Net income</t>
        </is>
      </c>
      <c r="C10" s="15" t="n">
        <v>700</v>
      </c>
      <c r="D10" s="15" t="n">
        <v>900</v>
      </c>
      <c r="E10" s="15" t="n">
        <v>950</v>
      </c>
      <c r="F10" s="15" t="n">
        <v>1150</v>
      </c>
      <c r="G10" s="18">
        <f>SUM(C10:F10)</f>
        <v/>
      </c>
    </row>
    <row r="11">
      <c r="B11" s="14" t="inlineStr">
        <is>
          <t>Cash</t>
        </is>
      </c>
      <c r="C11" s="15" t="n">
        <v>3200</v>
      </c>
      <c r="D11" s="15" t="n">
        <v>3600</v>
      </c>
      <c r="E11" s="15" t="n">
        <v>3900</v>
      </c>
      <c r="F11" s="15" t="n">
        <v>4800</v>
      </c>
      <c r="G11" s="16">
        <f>F11</f>
        <v/>
      </c>
    </row>
    <row r="12">
      <c r="B12" s="17" t="inlineStr">
        <is>
          <t>Accounts receivable</t>
        </is>
      </c>
      <c r="C12" s="15" t="n">
        <v>5400</v>
      </c>
      <c r="D12" s="15" t="n">
        <v>5600</v>
      </c>
      <c r="E12" s="15" t="n">
        <v>5800</v>
      </c>
      <c r="F12" s="15" t="n">
        <v>6100</v>
      </c>
      <c r="G12" s="18">
        <f>F12</f>
        <v/>
      </c>
    </row>
    <row r="13">
      <c r="B13" s="14" t="inlineStr">
        <is>
          <t>Inventory</t>
        </is>
      </c>
      <c r="C13" s="15" t="n">
        <v>4200</v>
      </c>
      <c r="D13" s="15" t="n">
        <v>4300</v>
      </c>
      <c r="E13" s="15" t="n">
        <v>4100</v>
      </c>
      <c r="F13" s="15" t="n">
        <v>3900</v>
      </c>
      <c r="G13" s="16">
        <f>F13</f>
        <v/>
      </c>
    </row>
    <row r="14">
      <c r="B14" s="17" t="inlineStr">
        <is>
          <t>Accounts payable</t>
        </is>
      </c>
      <c r="C14" s="15" t="n">
        <v>3800</v>
      </c>
      <c r="D14" s="15" t="n">
        <v>3900</v>
      </c>
      <c r="E14" s="15" t="n">
        <v>4000</v>
      </c>
      <c r="F14" s="15" t="n">
        <v>4200</v>
      </c>
      <c r="G14" s="18">
        <f>F14</f>
        <v/>
      </c>
    </row>
    <row r="15">
      <c r="B15" s="14" t="inlineStr">
        <is>
          <t>Current assets</t>
        </is>
      </c>
      <c r="C15" s="15" t="n">
        <v>13600</v>
      </c>
      <c r="D15" s="15" t="n">
        <v>14300</v>
      </c>
      <c r="E15" s="15" t="n">
        <v>14600</v>
      </c>
      <c r="F15" s="15" t="n">
        <v>15600</v>
      </c>
      <c r="G15" s="16">
        <f>F15</f>
        <v/>
      </c>
    </row>
    <row r="16">
      <c r="B16" s="17" t="inlineStr">
        <is>
          <t>Current liabilities</t>
        </is>
      </c>
      <c r="C16" s="15" t="n">
        <v>7200</v>
      </c>
      <c r="D16" s="15" t="n">
        <v>7400</v>
      </c>
      <c r="E16" s="15" t="n">
        <v>7500</v>
      </c>
      <c r="F16" s="15" t="n">
        <v>7800</v>
      </c>
      <c r="G16" s="18">
        <f>F16</f>
        <v/>
      </c>
    </row>
    <row r="18" ht="20" customHeight="1">
      <c r="B18" s="11" t="inlineStr">
        <is>
          <t>Key performance indicators</t>
        </is>
      </c>
    </row>
    <row r="19">
      <c r="B19" s="12" t="inlineStr">
        <is>
          <t>Metric</t>
        </is>
      </c>
      <c r="C19" s="13" t="inlineStr">
        <is>
          <t>Q1</t>
        </is>
      </c>
      <c r="D19" s="13" t="inlineStr">
        <is>
          <t>Q2</t>
        </is>
      </c>
      <c r="E19" s="13" t="inlineStr">
        <is>
          <t>Q3</t>
        </is>
      </c>
      <c r="F19" s="13" t="inlineStr">
        <is>
          <t>Q4</t>
        </is>
      </c>
      <c r="G19" s="13" t="inlineStr">
        <is>
          <t>FY2025</t>
        </is>
      </c>
    </row>
    <row r="20">
      <c r="B20" s="14" t="inlineStr">
        <is>
          <t>Gross margin %</t>
        </is>
      </c>
      <c r="C20" s="19">
        <f>(C7-C8)/C7</f>
        <v/>
      </c>
      <c r="D20" s="19">
        <f>(D7-D8)/D7</f>
        <v/>
      </c>
      <c r="E20" s="19">
        <f>(E7-E8)/E7</f>
        <v/>
      </c>
      <c r="F20" s="19">
        <f>(F7-F8)/F7</f>
        <v/>
      </c>
      <c r="G20" s="20">
        <f>(G7-G8)/G7</f>
        <v/>
      </c>
    </row>
    <row r="21">
      <c r="B21" s="17" t="inlineStr">
        <is>
          <t>EBITDA margin %</t>
        </is>
      </c>
      <c r="C21" s="21">
        <f>C9/C7</f>
        <v/>
      </c>
      <c r="D21" s="21">
        <f>D9/D7</f>
        <v/>
      </c>
      <c r="E21" s="21">
        <f>E9/E7</f>
        <v/>
      </c>
      <c r="F21" s="21">
        <f>F9/F7</f>
        <v/>
      </c>
      <c r="G21" s="22">
        <f>G9/G7</f>
        <v/>
      </c>
    </row>
    <row r="22">
      <c r="B22" s="14" t="inlineStr">
        <is>
          <t>Net margin %</t>
        </is>
      </c>
      <c r="C22" s="19">
        <f>C10/C7</f>
        <v/>
      </c>
      <c r="D22" s="19">
        <f>D10/D7</f>
        <v/>
      </c>
      <c r="E22" s="19">
        <f>E10/E7</f>
        <v/>
      </c>
      <c r="F22" s="19">
        <f>F10/F7</f>
        <v/>
      </c>
      <c r="G22" s="20">
        <f>G10/G7</f>
        <v/>
      </c>
    </row>
    <row r="23">
      <c r="B23" s="17" t="inlineStr">
        <is>
          <t>Revenue growth QoQ %</t>
        </is>
      </c>
      <c r="C23" s="21">
        <f>"-"</f>
        <v/>
      </c>
      <c r="D23" s="21">
        <f>D7/C7-1</f>
        <v/>
      </c>
      <c r="E23" s="21">
        <f>E7/D7-1</f>
        <v/>
      </c>
      <c r="F23" s="21">
        <f>F7/E7-1</f>
        <v/>
      </c>
      <c r="G23" s="22">
        <f>G7/(C7*4)-1</f>
        <v/>
      </c>
    </row>
    <row r="24">
      <c r="B24" s="14" t="inlineStr">
        <is>
          <t>Current ratio</t>
        </is>
      </c>
      <c r="C24" s="23">
        <f>C15/C16</f>
        <v/>
      </c>
      <c r="D24" s="23">
        <f>D15/D16</f>
        <v/>
      </c>
      <c r="E24" s="23">
        <f>E15/E16</f>
        <v/>
      </c>
      <c r="F24" s="23">
        <f>F15/F16</f>
        <v/>
      </c>
      <c r="G24" s="24">
        <f>G15/G16</f>
        <v/>
      </c>
    </row>
    <row r="25">
      <c r="B25" s="17" t="inlineStr">
        <is>
          <t>Quick ratio</t>
        </is>
      </c>
      <c r="C25" s="25">
        <f>(C15-C13)/C16</f>
        <v/>
      </c>
      <c r="D25" s="25">
        <f>(D15-D13)/D16</f>
        <v/>
      </c>
      <c r="E25" s="25">
        <f>(E15-E13)/E16</f>
        <v/>
      </c>
      <c r="F25" s="25">
        <f>(F15-F13)/F16</f>
        <v/>
      </c>
      <c r="G25" s="26">
        <f>(G15-G13)/G16</f>
        <v/>
      </c>
    </row>
    <row r="26">
      <c r="B26" s="14" t="inlineStr">
        <is>
          <t>DSO (days)</t>
        </is>
      </c>
      <c r="C26" s="27">
        <f>C12/C7*91.25</f>
        <v/>
      </c>
      <c r="D26" s="27">
        <f>D12/D7*91.25</f>
        <v/>
      </c>
      <c r="E26" s="27">
        <f>E12/E7*91.25</f>
        <v/>
      </c>
      <c r="F26" s="27">
        <f>F12/F7*91.25</f>
        <v/>
      </c>
      <c r="G26" s="28">
        <f>G12/G7*365</f>
        <v/>
      </c>
    </row>
    <row r="27">
      <c r="B27" s="17" t="inlineStr">
        <is>
          <t>DIO (days)</t>
        </is>
      </c>
      <c r="C27" s="29">
        <f>C13/C8*91.25</f>
        <v/>
      </c>
      <c r="D27" s="29">
        <f>D13/D8*91.25</f>
        <v/>
      </c>
      <c r="E27" s="29">
        <f>E13/E8*91.25</f>
        <v/>
      </c>
      <c r="F27" s="29">
        <f>F13/F8*91.25</f>
        <v/>
      </c>
      <c r="G27" s="30">
        <f>G13/G8*365</f>
        <v/>
      </c>
    </row>
    <row r="28">
      <c r="B28" s="14" t="inlineStr">
        <is>
          <t>DPO (days)</t>
        </is>
      </c>
      <c r="C28" s="27">
        <f>C14/C8*91.25</f>
        <v/>
      </c>
      <c r="D28" s="27">
        <f>D14/D8*91.25</f>
        <v/>
      </c>
      <c r="E28" s="27">
        <f>E14/E8*91.25</f>
        <v/>
      </c>
      <c r="F28" s="27">
        <f>F14/F8*91.25</f>
        <v/>
      </c>
      <c r="G28" s="28">
        <f>G14/G8*365</f>
        <v/>
      </c>
    </row>
    <row r="29">
      <c r="B29" s="31" t="inlineStr">
        <is>
          <t>Cash conversion cycle (days)</t>
        </is>
      </c>
      <c r="C29" s="32">
        <f>C26+C27-C28</f>
        <v/>
      </c>
      <c r="D29" s="32">
        <f>D26+D27-D28</f>
        <v/>
      </c>
      <c r="E29" s="32">
        <f>E26+E27-E28</f>
        <v/>
      </c>
      <c r="F29" s="32">
        <f>F26+F27-F28</f>
        <v/>
      </c>
      <c r="G29" s="32">
        <f>G26+G27-G28</f>
        <v/>
      </c>
    </row>
    <row r="32" ht="20" customHeight="1">
      <c r="B32" s="11" t="inlineStr">
        <is>
          <t>Key insights (auto-generated)</t>
        </is>
      </c>
    </row>
    <row r="33" ht="26" customHeight="1">
      <c r="B33" s="33">
        <f>"Full-year revenue of €"&amp;TEXT(G7,"#,##0")&amp;"k at a "&amp;TEXT(G20,"0.0%")&amp;" gross margin and "&amp;TEXT(G21,"0.0%")&amp;" EBITDA margin."</f>
        <v/>
      </c>
    </row>
    <row r="34" ht="26" customHeight="1">
      <c r="B34" s="33">
        <f>"Liquidity is sound: current ratio of "&amp;TEXT(F24,"0.0")&amp;"x and quick ratio of "&amp;TEXT(F25,"0.0")&amp;"x at year-end."</f>
        <v/>
      </c>
    </row>
    <row r="35" ht="26" customHeight="1">
      <c r="B35" s="33">
        <f>"Cash conversion cycle runs at "&amp;TEXT(F29,"0")&amp;" days in Q4; the biggest lever is DSO of "&amp;TEXT(F26,"0")&amp;" days; tightening collections frees working capital."</f>
        <v/>
      </c>
    </row>
    <row r="36" ht="26" customHeight="1">
      <c r="B36" s="33">
        <f>"Margins expand through the year as Q4 volume leverages the fixed cost base; EBITDA margin rises to "&amp;TEXT(F21,"0.0%")&amp;" in Q4."</f>
        <v/>
      </c>
    </row>
  </sheetData>
  <mergeCells count="9">
    <mergeCell ref="B2:G2"/>
    <mergeCell ref="B3:G3"/>
    <mergeCell ref="B5:G5"/>
    <mergeCell ref="B18:G18"/>
    <mergeCell ref="B32:G32"/>
    <mergeCell ref="B33:G33"/>
    <mergeCell ref="B34:G34"/>
    <mergeCell ref="B35:G35"/>
    <mergeCell ref="B36:G3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2026-08-09T17:43:18Z</dcterms:created>
  <dcterms:modified xmlns:dcterms="http://purl.org/dc/terms/" xmlns:xsi="http://www.w3.org/2001/XMLSchema-instance" xsi:type="dcterms:W3CDTF">2026-08-09T17:43:18Z</dcterms:modified>
</cp:coreProperties>
</file>