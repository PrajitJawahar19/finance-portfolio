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TF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€ #,##0"/>
    <numFmt numFmtId="165" formatCode="0.0%;(0.0%);&quot;-&quot;"/>
    <numFmt numFmtId="166" formatCode="0.00%;(0.00%);&quot;-&quot;"/>
    <numFmt numFmtId="167" formatCode="#,##0.0;(#,##0.0);&quot;-&quot;"/>
    <numFmt numFmtId="168" formatCode="0.00&quot;x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00FF"/>
      <sz val="10"/>
    </font>
    <font>
      <name val="Arial"/>
      <b val="1"/>
      <color rgb="001F3A5F"/>
      <sz val="11"/>
    </font>
    <font>
      <name val="Arial"/>
      <b val="1"/>
      <color rgb="00FFFFFF"/>
      <sz val="8.300000000000001"/>
    </font>
    <font>
      <name val="Arial"/>
      <color rgb="00000000"/>
      <sz val="9.5"/>
    </font>
    <font>
      <name val="Arial"/>
      <color rgb="006B7280"/>
      <sz val="9.5"/>
    </font>
    <font>
      <name val="Arial"/>
      <color rgb="000000FF"/>
      <sz val="9.5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22222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165" fontId="13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6" fontId="13" fillId="4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vertical="center"/>
    </xf>
    <xf numFmtId="165" fontId="14" fillId="2" borderId="1" applyAlignment="1" pivotButton="0" quotePrefix="0" xfId="0">
      <alignment horizontal="right" vertical="center"/>
    </xf>
    <xf numFmtId="164" fontId="14" fillId="2" borderId="1" applyAlignment="1" pivotButton="0" quotePrefix="0" xfId="0">
      <alignment horizontal="right" vertical="center"/>
    </xf>
    <xf numFmtId="166" fontId="14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16" fillId="5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5" fontId="14" fillId="6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8" fontId="14" fillId="6" borderId="1" applyAlignment="1" pivotButton="0" quotePrefix="0" xfId="0">
      <alignment horizontal="right" vertical="center"/>
    </xf>
    <xf numFmtId="168" fontId="16" fillId="5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Allocation: target vs current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'ETF Portfolio'!D8</f>
            </strRef>
          </tx>
          <spPr>
            <a:solidFill xmlns:a="http://schemas.openxmlformats.org/drawingml/2006/main">
              <a:srgbClr val="9AA7B4"/>
            </a:solidFill>
            <a:ln xmlns:a="http://schemas.openxmlformats.org/drawingml/2006/main">
              <a:prstDash val="solid"/>
            </a:ln>
          </spPr>
          <cat>
            <numRef>
              <f>'ETF Portfolio'!$B$9:$B$16</f>
            </numRef>
          </cat>
          <val>
            <numRef>
              <f>'ETF Portfolio'!$D$9:$D$16</f>
            </numRef>
          </val>
        </ser>
        <ser>
          <idx val="1"/>
          <order val="1"/>
          <tx>
            <strRef>
              <f>'ETF Portfolio'!F8</f>
            </strRef>
          </tx>
          <spPr>
            <a:solidFill xmlns:a="http://schemas.openxmlformats.org/drawingml/2006/main">
              <a:srgbClr val="17B890"/>
            </a:solidFill>
            <a:ln xmlns:a="http://schemas.openxmlformats.org/drawingml/2006/main">
              <a:prstDash val="solid"/>
            </a:ln>
          </spPr>
          <cat>
            <numRef>
              <f>'ETF Portfolio'!$B$9:$B$16</f>
            </numRef>
          </cat>
          <val>
            <numRef>
              <f>'ETF Portfolio'!$F$9:$F$16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portfolio index (base 100)</a:t>
            </a:r>
          </a:p>
        </rich>
      </tx>
    </title>
    <plotArea>
      <lineChart>
        <grouping val="standard"/>
        <ser>
          <idx val="0"/>
          <order val="0"/>
          <tx>
            <strRef>
              <f>'ETF Portfolio'!F29</f>
            </strRef>
          </tx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'ETF Portfolio'!$B$30:$B$41</f>
            </numRef>
          </cat>
          <val>
            <numRef>
              <f>'ETF Portfolio'!$F$30:$F$41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31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WEALTH  ·  Sample Model</t>
        </is>
      </c>
    </row>
    <row r="3" ht="16" customHeight="1">
      <c r="B3" s="2" t="inlineStr">
        <is>
          <t>Illustrative ETF / fund analytics project. Prepared by Prajit Jawahar</t>
        </is>
      </c>
    </row>
    <row r="5" ht="30" customHeight="1">
      <c r="B5" s="3" t="inlineStr">
        <is>
          <t>Model</t>
        </is>
      </c>
      <c r="C5" s="4" t="inlineStr">
        <is>
          <t>30: ETF Portfolio: Allocation, Performance &amp; Risk</t>
        </is>
      </c>
    </row>
    <row r="6" ht="75" customHeight="1">
      <c r="B6" s="3" t="inlineStr">
        <is>
          <t>Purpose</t>
        </is>
      </c>
      <c r="C6" s="4" t="inlineStr">
        <is>
          <t>A model multi-asset ETF portfolio the way an adviser runs it: target vs actual allocation with drift and rebalancing trades, performance against a blended benchmark, and a full risk pack (volatility, Sharpe, beta, alpha, tracking error, information ratio, max drawdown).</t>
        </is>
      </c>
    </row>
    <row r="7" ht="60" customHeight="1">
      <c r="B7" s="3" t="inlineStr">
        <is>
          <t>Techniques shown</t>
        </is>
      </c>
      <c r="C7" s="4" t="inlineStr">
        <is>
          <t>Target vs actual allocation &amp; rebalancing · blended benchmark · weighted cost (TER) · annualised return / volatility / Sharpe · beta &amp; alpha (CAPM) · tracking error &amp; information ratio · maximum drawdown.</t>
        </is>
      </c>
    </row>
    <row r="8" ht="60" customHeight="1">
      <c r="B8" s="3" t="inlineStr">
        <is>
          <t>How to use</t>
        </is>
      </c>
      <c r="C8" s="4" t="inlineStr">
        <is>
          <t>Update the blue target weights, market values, ETF &amp; index returns, cost and the monthly return series; allocation drift, benchmark-relative performance and the risk metrics recompute.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figures; ETF names are fictional. Not investment advice.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Yellow fill</t>
        </is>
      </c>
      <c r="C14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1" customWidth="1" min="4" max="4"/>
    <col width="15" customWidth="1" min="5" max="5"/>
    <col width="11" customWidth="1" min="6" max="6"/>
    <col width="10" customWidth="1" min="7" max="7"/>
    <col width="14" customWidth="1" min="8" max="8"/>
    <col width="11" customWidth="1" min="9" max="9"/>
    <col width="11" customWidth="1" min="10" max="10"/>
    <col width="9" customWidth="1" min="11" max="11"/>
    <col width="2" customWidth="1" min="12" max="12"/>
  </cols>
  <sheetData>
    <row r="2" ht="30" customHeight="1">
      <c r="B2" s="1" t="inlineStr">
        <is>
          <t>Helios Wealth — Model ETF Portfolio</t>
        </is>
      </c>
    </row>
    <row r="3" ht="16" customHeight="1">
      <c r="B3" s="2" t="inlineStr">
        <is>
          <t>EUR and %. Blue = input. Multi-asset ETF portfolio vs a blended strategic benchmark.</t>
        </is>
      </c>
    </row>
    <row r="5">
      <c r="B5" s="9" t="inlineStr">
        <is>
          <t>Total portfolio value (EUR)</t>
        </is>
      </c>
      <c r="C5" s="10" t="n">
        <v>2000000</v>
      </c>
    </row>
    <row r="7" ht="20" customHeight="1">
      <c r="B7" s="11" t="inlineStr">
        <is>
          <t>Holdings, allocation &amp; rebalancing</t>
        </is>
      </c>
    </row>
    <row r="8" ht="28" customHeight="1">
      <c r="B8" s="12" t="inlineStr">
        <is>
          <t>ETF (fund)</t>
        </is>
      </c>
      <c r="C8" s="13" t="inlineStr">
        <is>
          <t>Asset class</t>
        </is>
      </c>
      <c r="D8" s="13" t="inlineStr">
        <is>
          <t>Target wt</t>
        </is>
      </c>
      <c r="E8" s="13" t="inlineStr">
        <is>
          <t>Market value</t>
        </is>
      </c>
      <c r="F8" s="13" t="inlineStr">
        <is>
          <t>Current wt</t>
        </is>
      </c>
      <c r="G8" s="13" t="inlineStr">
        <is>
          <t>Drift</t>
        </is>
      </c>
      <c r="H8" s="13" t="inlineStr">
        <is>
          <t>Rebalance (EUR)</t>
        </is>
      </c>
      <c r="I8" s="13" t="inlineStr">
        <is>
          <t>1Y fund ret</t>
        </is>
      </c>
      <c r="J8" s="13" t="inlineStr">
        <is>
          <t>1Y index ret</t>
        </is>
      </c>
      <c r="K8" s="13" t="inlineStr">
        <is>
          <t>TER</t>
        </is>
      </c>
    </row>
    <row r="9">
      <c r="B9" s="14" t="inlineStr">
        <is>
          <t>Global Developed Equity</t>
        </is>
      </c>
      <c r="C9" s="15" t="inlineStr">
        <is>
          <t>Equity</t>
        </is>
      </c>
      <c r="D9" s="16" t="n">
        <v>0.3</v>
      </c>
      <c r="E9" s="17" t="n">
        <v>640000</v>
      </c>
      <c r="F9" s="18">
        <f>E9/$C$5</f>
        <v/>
      </c>
      <c r="G9" s="18">
        <f>F9-D9</f>
        <v/>
      </c>
      <c r="H9" s="19">
        <f>(D9-F9)*$C$5</f>
        <v/>
      </c>
      <c r="I9" s="16" t="n">
        <v>0.18</v>
      </c>
      <c r="J9" s="16" t="n">
        <v>0.176</v>
      </c>
      <c r="K9" s="20" t="n">
        <v>0.002</v>
      </c>
    </row>
    <row r="10">
      <c r="B10" s="14" t="inlineStr">
        <is>
          <t>US Equity (S&amp;P 500)</t>
        </is>
      </c>
      <c r="C10" s="15" t="inlineStr">
        <is>
          <t>Equity</t>
        </is>
      </c>
      <c r="D10" s="16" t="n">
        <v>0.15</v>
      </c>
      <c r="E10" s="17" t="n">
        <v>340000</v>
      </c>
      <c r="F10" s="18">
        <f>E10/$C$5</f>
        <v/>
      </c>
      <c r="G10" s="18">
        <f>F10-D10</f>
        <v/>
      </c>
      <c r="H10" s="19">
        <f>(D10-F10)*$C$5</f>
        <v/>
      </c>
      <c r="I10" s="16" t="n">
        <v>0.22</v>
      </c>
      <c r="J10" s="16" t="n">
        <v>0.216</v>
      </c>
      <c r="K10" s="20" t="n">
        <v>0.0007</v>
      </c>
    </row>
    <row r="11">
      <c r="B11" s="14" t="inlineStr">
        <is>
          <t>Europe Equity (STOXX 600)</t>
        </is>
      </c>
      <c r="C11" s="15" t="inlineStr">
        <is>
          <t>Equity</t>
        </is>
      </c>
      <c r="D11" s="16" t="n">
        <v>0.1</v>
      </c>
      <c r="E11" s="17" t="n">
        <v>190000</v>
      </c>
      <c r="F11" s="18">
        <f>E11/$C$5</f>
        <v/>
      </c>
      <c r="G11" s="18">
        <f>F11-D11</f>
        <v/>
      </c>
      <c r="H11" s="19">
        <f>(D11-F11)*$C$5</f>
        <v/>
      </c>
      <c r="I11" s="16" t="n">
        <v>0.12</v>
      </c>
      <c r="J11" s="16" t="n">
        <v>0.118</v>
      </c>
      <c r="K11" s="20" t="n">
        <v>0.0012</v>
      </c>
    </row>
    <row r="12">
      <c r="B12" s="14" t="inlineStr">
        <is>
          <t>Emerging Markets Equity</t>
        </is>
      </c>
      <c r="C12" s="15" t="inlineStr">
        <is>
          <t>Equity</t>
        </is>
      </c>
      <c r="D12" s="16" t="n">
        <v>0.08</v>
      </c>
      <c r="E12" s="17" t="n">
        <v>150000</v>
      </c>
      <c r="F12" s="18">
        <f>E12/$C$5</f>
        <v/>
      </c>
      <c r="G12" s="18">
        <f>F12-D12</f>
        <v/>
      </c>
      <c r="H12" s="19">
        <f>(D12-F12)*$C$5</f>
        <v/>
      </c>
      <c r="I12" s="16" t="n">
        <v>0.09</v>
      </c>
      <c r="J12" s="16" t="n">
        <v>0.08500000000000001</v>
      </c>
      <c r="K12" s="20" t="n">
        <v>0.0018</v>
      </c>
    </row>
    <row r="13">
      <c r="B13" s="14" t="inlineStr">
        <is>
          <t>Global Aggregate Bonds</t>
        </is>
      </c>
      <c r="C13" s="15" t="inlineStr">
        <is>
          <t>Fixed income</t>
        </is>
      </c>
      <c r="D13" s="16" t="n">
        <v>0.2</v>
      </c>
      <c r="E13" s="17" t="n">
        <v>360000</v>
      </c>
      <c r="F13" s="18">
        <f>E13/$C$5</f>
        <v/>
      </c>
      <c r="G13" s="18">
        <f>F13-D13</f>
        <v/>
      </c>
      <c r="H13" s="19">
        <f>(D13-F13)*$C$5</f>
        <v/>
      </c>
      <c r="I13" s="16" t="n">
        <v>0.03</v>
      </c>
      <c r="J13" s="16" t="n">
        <v>0.031</v>
      </c>
      <c r="K13" s="20" t="n">
        <v>0.001</v>
      </c>
    </row>
    <row r="14">
      <c r="B14" s="14" t="inlineStr">
        <is>
          <t>EUR Corporate Bonds</t>
        </is>
      </c>
      <c r="C14" s="15" t="inlineStr">
        <is>
          <t>Fixed income</t>
        </is>
      </c>
      <c r="D14" s="16" t="n">
        <v>0.07000000000000001</v>
      </c>
      <c r="E14" s="17" t="n">
        <v>130000</v>
      </c>
      <c r="F14" s="18">
        <f>E14/$C$5</f>
        <v/>
      </c>
      <c r="G14" s="18">
        <f>F14-D14</f>
        <v/>
      </c>
      <c r="H14" s="19">
        <f>(D14-F14)*$C$5</f>
        <v/>
      </c>
      <c r="I14" s="16" t="n">
        <v>0.04</v>
      </c>
      <c r="J14" s="16" t="n">
        <v>0.041</v>
      </c>
      <c r="K14" s="20" t="n">
        <v>0.0015</v>
      </c>
    </row>
    <row r="15">
      <c r="B15" s="14" t="inlineStr">
        <is>
          <t>Gold / Commodities</t>
        </is>
      </c>
      <c r="C15" s="15" t="inlineStr">
        <is>
          <t>Alternatives</t>
        </is>
      </c>
      <c r="D15" s="16" t="n">
        <v>0.05</v>
      </c>
      <c r="E15" s="17" t="n">
        <v>100000</v>
      </c>
      <c r="F15" s="18">
        <f>E15/$C$5</f>
        <v/>
      </c>
      <c r="G15" s="18">
        <f>F15-D15</f>
        <v/>
      </c>
      <c r="H15" s="19">
        <f>(D15-F15)*$C$5</f>
        <v/>
      </c>
      <c r="I15" s="16" t="n">
        <v>0.14</v>
      </c>
      <c r="J15" s="16" t="n">
        <v>0.139</v>
      </c>
      <c r="K15" s="20" t="n">
        <v>0.0025</v>
      </c>
    </row>
    <row r="16">
      <c r="B16" s="14" t="inlineStr">
        <is>
          <t>Global REIT</t>
        </is>
      </c>
      <c r="C16" s="15" t="inlineStr">
        <is>
          <t>Real estate</t>
        </is>
      </c>
      <c r="D16" s="16" t="n">
        <v>0.05</v>
      </c>
      <c r="E16" s="17" t="n">
        <v>90000</v>
      </c>
      <c r="F16" s="18">
        <f>E16/$C$5</f>
        <v/>
      </c>
      <c r="G16" s="18">
        <f>F16-D16</f>
        <v/>
      </c>
      <c r="H16" s="19">
        <f>(D16-F16)*$C$5</f>
        <v/>
      </c>
      <c r="I16" s="16" t="n">
        <v>0.08</v>
      </c>
      <c r="J16" s="16" t="n">
        <v>0.078</v>
      </c>
      <c r="K16" s="20" t="n">
        <v>0.0035</v>
      </c>
    </row>
    <row r="17">
      <c r="B17" s="21" t="inlineStr">
        <is>
          <t>Total / weighted</t>
        </is>
      </c>
      <c r="C17" s="22" t="n"/>
      <c r="D17" s="23">
        <f>SUM(D9:D16)</f>
        <v/>
      </c>
      <c r="E17" s="24">
        <f>SUM(E9:E16)</f>
        <v/>
      </c>
      <c r="F17" s="23">
        <f>SUM(F9:F16)</f>
        <v/>
      </c>
      <c r="G17" s="22" t="n"/>
      <c r="H17" s="22" t="n"/>
      <c r="I17" s="23">
        <f>SUMPRODUCT(F9:F16,I9:I16)</f>
        <v/>
      </c>
      <c r="J17" s="22" t="n"/>
      <c r="K17" s="25">
        <f>SUMPRODUCT(F9:F16,K9:K16)</f>
        <v/>
      </c>
    </row>
    <row r="19" ht="20" customHeight="1">
      <c r="B19" s="11" t="inlineStr">
        <is>
          <t>Performance vs blended benchmark</t>
        </is>
      </c>
    </row>
    <row r="20">
      <c r="B20" s="26" t="inlineStr">
        <is>
          <t>Portfolio 1Y return (holdings)</t>
        </is>
      </c>
      <c r="C20" s="27">
        <f>SUMPRODUCT(F9:F16,I9:I16)</f>
        <v/>
      </c>
    </row>
    <row r="21">
      <c r="B21" s="26" t="inlineStr">
        <is>
          <t>Benchmark 1Y return (target x index)</t>
        </is>
      </c>
      <c r="C21" s="27">
        <f>SUMPRODUCT(D9:D16,J9:J16)</f>
        <v/>
      </c>
    </row>
    <row r="22">
      <c r="B22" s="28" t="inlineStr">
        <is>
          <t>Excess return (allocation + selection)</t>
        </is>
      </c>
      <c r="C22" s="29">
        <f>C20-C21</f>
        <v/>
      </c>
    </row>
    <row r="23">
      <c r="B23" s="9" t="inlineStr">
        <is>
          <t>Weighted expense ratio (TER)</t>
        </is>
      </c>
      <c r="C23" s="30">
        <f>SUMPRODUCT(F9:F16,K9:K16)</f>
        <v/>
      </c>
    </row>
    <row r="24">
      <c r="B24" s="9" t="inlineStr">
        <is>
          <t>Largest allocation drift</t>
        </is>
      </c>
      <c r="C24" s="31">
        <f>MAX(ABS(G9),ABS(G10),ABS(G11),ABS(G12),ABS(G13),ABS(G14),ABS(G15),ABS(G16))</f>
        <v/>
      </c>
    </row>
    <row r="26" ht="20" customHeight="1">
      <c r="B26" s="11" t="inlineStr">
        <is>
          <t>Monthly returns — portfolio vs benchmark (trailing 12 months)</t>
        </is>
      </c>
    </row>
    <row r="27">
      <c r="B27" s="9" t="inlineStr">
        <is>
          <t>Risk-free rate (annual)</t>
        </is>
      </c>
      <c r="C27" s="32" t="n">
        <v>0.02</v>
      </c>
    </row>
    <row r="29" ht="28" customHeight="1">
      <c r="B29" s="12" t="inlineStr">
        <is>
          <t>Month</t>
        </is>
      </c>
      <c r="C29" s="13" t="inlineStr">
        <is>
          <t>Portfolio</t>
        </is>
      </c>
      <c r="D29" s="13" t="inlineStr">
        <is>
          <t>Benchmark</t>
        </is>
      </c>
      <c r="E29" s="13" t="inlineStr">
        <is>
          <t>Excess</t>
        </is>
      </c>
      <c r="F29" s="13" t="inlineStr">
        <is>
          <t>Cum. index</t>
        </is>
      </c>
      <c r="G29" s="13" t="inlineStr">
        <is>
          <t>Drawdown</t>
        </is>
      </c>
    </row>
    <row r="30">
      <c r="B30" s="14" t="inlineStr">
        <is>
          <t>Jan</t>
        </is>
      </c>
      <c r="C30" s="16" t="n">
        <v>0.029</v>
      </c>
      <c r="D30" s="16" t="n">
        <v>0.028</v>
      </c>
      <c r="E30" s="18">
        <f>C30-D30</f>
        <v/>
      </c>
      <c r="F30" s="33">
        <f>100*(1+C30)</f>
        <v/>
      </c>
      <c r="G30" s="18">
        <f>F30/MAX(F$30:F30)-1</f>
        <v/>
      </c>
    </row>
    <row r="31">
      <c r="B31" s="14" t="inlineStr">
        <is>
          <t>Feb</t>
        </is>
      </c>
      <c r="C31" s="16" t="n">
        <v>-0.027</v>
      </c>
      <c r="D31" s="16" t="n">
        <v>-0.026</v>
      </c>
      <c r="E31" s="18">
        <f>C31-D31</f>
        <v/>
      </c>
      <c r="F31" s="33">
        <f>F30*(1+C31)</f>
        <v/>
      </c>
      <c r="G31" s="18">
        <f>F31/MAX(F$30:F31)-1</f>
        <v/>
      </c>
    </row>
    <row r="32">
      <c r="B32" s="14" t="inlineStr">
        <is>
          <t>Mar</t>
        </is>
      </c>
      <c r="C32" s="16" t="n">
        <v>0.044</v>
      </c>
      <c r="D32" s="16" t="n">
        <v>0.038</v>
      </c>
      <c r="E32" s="18">
        <f>C32-D32</f>
        <v/>
      </c>
      <c r="F32" s="33">
        <f>F31*(1+C32)</f>
        <v/>
      </c>
      <c r="G32" s="18">
        <f>F32/MAX(F$30:F32)-1</f>
        <v/>
      </c>
    </row>
    <row r="33">
      <c r="B33" s="14" t="inlineStr">
        <is>
          <t>Apr</t>
        </is>
      </c>
      <c r="C33" s="16" t="n">
        <v>0.008</v>
      </c>
      <c r="D33" s="16" t="n">
        <v>0.012</v>
      </c>
      <c r="E33" s="18">
        <f>C33-D33</f>
        <v/>
      </c>
      <c r="F33" s="33">
        <f>F32*(1+C33)</f>
        <v/>
      </c>
      <c r="G33" s="18">
        <f>F33/MAX(F$30:F33)-1</f>
        <v/>
      </c>
    </row>
    <row r="34">
      <c r="B34" s="14" t="inlineStr">
        <is>
          <t>May</t>
        </is>
      </c>
      <c r="C34" s="16" t="n">
        <v>-0.017</v>
      </c>
      <c r="D34" s="16" t="n">
        <v>-0.02</v>
      </c>
      <c r="E34" s="18">
        <f>C34-D34</f>
        <v/>
      </c>
      <c r="F34" s="33">
        <f>F33*(1+C34)</f>
        <v/>
      </c>
      <c r="G34" s="18">
        <f>F34/MAX(F$30:F34)-1</f>
        <v/>
      </c>
    </row>
    <row r="35">
      <c r="B35" s="14" t="inlineStr">
        <is>
          <t>Jun</t>
        </is>
      </c>
      <c r="C35" s="16" t="n">
        <v>0.031</v>
      </c>
      <c r="D35" s="16" t="n">
        <v>0.033</v>
      </c>
      <c r="E35" s="18">
        <f>C35-D35</f>
        <v/>
      </c>
      <c r="F35" s="33">
        <f>F34*(1+C35)</f>
        <v/>
      </c>
      <c r="G35" s="18">
        <f>F35/MAX(F$30:F35)-1</f>
        <v/>
      </c>
    </row>
    <row r="36">
      <c r="B36" s="14" t="inlineStr">
        <is>
          <t>Jul</t>
        </is>
      </c>
      <c r="C36" s="16" t="n">
        <v>0.01</v>
      </c>
      <c r="D36" s="16" t="n">
        <v>0.007</v>
      </c>
      <c r="E36" s="18">
        <f>C36-D36</f>
        <v/>
      </c>
      <c r="F36" s="33">
        <f>F35*(1+C36)</f>
        <v/>
      </c>
      <c r="G36" s="18">
        <f>F36/MAX(F$30:F36)-1</f>
        <v/>
      </c>
    </row>
    <row r="37">
      <c r="B37" s="14" t="inlineStr">
        <is>
          <t>Aug</t>
        </is>
      </c>
      <c r="C37" s="16" t="n">
        <v>0.024</v>
      </c>
      <c r="D37" s="16" t="n">
        <v>0.026</v>
      </c>
      <c r="E37" s="18">
        <f>C37-D37</f>
        <v/>
      </c>
      <c r="F37" s="33">
        <f>F36*(1+C37)</f>
        <v/>
      </c>
      <c r="G37" s="18">
        <f>F37/MAX(F$30:F37)-1</f>
        <v/>
      </c>
    </row>
    <row r="38">
      <c r="B38" s="14" t="inlineStr">
        <is>
          <t>Sep</t>
        </is>
      </c>
      <c r="C38" s="16" t="n">
        <v>-0.035</v>
      </c>
      <c r="D38" s="16" t="n">
        <v>-0.033</v>
      </c>
      <c r="E38" s="18">
        <f>C38-D38</f>
        <v/>
      </c>
      <c r="F38" s="33">
        <f>F37*(1+C38)</f>
        <v/>
      </c>
      <c r="G38" s="18">
        <f>F38/MAX(F$30:F38)-1</f>
        <v/>
      </c>
    </row>
    <row r="39">
      <c r="B39" s="14" t="inlineStr">
        <is>
          <t>Oct</t>
        </is>
      </c>
      <c r="C39" s="16" t="n">
        <v>0.041</v>
      </c>
      <c r="D39" s="16" t="n">
        <v>0.036</v>
      </c>
      <c r="E39" s="18">
        <f>C39-D39</f>
        <v/>
      </c>
      <c r="F39" s="33">
        <f>F38*(1+C39)</f>
        <v/>
      </c>
      <c r="G39" s="18">
        <f>F39/MAX(F$30:F39)-1</f>
        <v/>
      </c>
    </row>
    <row r="40">
      <c r="B40" s="14" t="inlineStr">
        <is>
          <t>Nov</t>
        </is>
      </c>
      <c r="C40" s="16" t="n">
        <v>-0.004</v>
      </c>
      <c r="D40" s="16" t="n">
        <v>-0.007</v>
      </c>
      <c r="E40" s="18">
        <f>C40-D40</f>
        <v/>
      </c>
      <c r="F40" s="33">
        <f>F39*(1+C40)</f>
        <v/>
      </c>
      <c r="G40" s="18">
        <f>F40/MAX(F$30:F40)-1</f>
        <v/>
      </c>
    </row>
    <row r="41">
      <c r="B41" s="14" t="inlineStr">
        <is>
          <t>Dec</t>
        </is>
      </c>
      <c r="C41" s="16" t="n">
        <v>0.026</v>
      </c>
      <c r="D41" s="16" t="n">
        <v>0.024</v>
      </c>
      <c r="E41" s="18">
        <f>C41-D41</f>
        <v/>
      </c>
      <c r="F41" s="33">
        <f>F40*(1+C41)</f>
        <v/>
      </c>
      <c r="G41" s="18">
        <f>F41/MAX(F$30:F41)-1</f>
        <v/>
      </c>
    </row>
    <row r="43" ht="20" customHeight="1">
      <c r="B43" s="11" t="inlineStr">
        <is>
          <t>Risk &amp; risk-adjusted metrics</t>
        </is>
      </c>
    </row>
    <row r="44">
      <c r="B44" s="26" t="inlineStr">
        <is>
          <t>Annualised return (portfolio)</t>
        </is>
      </c>
      <c r="C44" s="27">
        <f>F41/100-1</f>
        <v/>
      </c>
    </row>
    <row r="45">
      <c r="B45" s="9" t="inlineStr">
        <is>
          <t>Annualised return (benchmark)</t>
        </is>
      </c>
      <c r="C45" s="31">
        <f>(1+D30)*(1+D31)*(1+D32)*(1+D33)*(1+D34)*(1+D35)*(1+D36)*(1+D37)*(1+D38)*(1+D39)*(1+D40)*(1+D41)-1</f>
        <v/>
      </c>
    </row>
    <row r="46">
      <c r="B46" s="26" t="inlineStr">
        <is>
          <t>Volatility (annualised)</t>
        </is>
      </c>
      <c r="C46" s="27">
        <f>STDEV(C30:C41)*SQRT(12)</f>
        <v/>
      </c>
    </row>
    <row r="47">
      <c r="B47" s="28" t="inlineStr">
        <is>
          <t>Sharpe ratio</t>
        </is>
      </c>
      <c r="C47" s="34">
        <f>(C44-C27)/C46</f>
        <v/>
      </c>
    </row>
    <row r="48">
      <c r="B48" s="26" t="inlineStr">
        <is>
          <t>Beta (vs benchmark)</t>
        </is>
      </c>
      <c r="C48" s="35">
        <f>SLOPE(C30:C41,D30:D41)</f>
        <v/>
      </c>
    </row>
    <row r="49">
      <c r="B49" s="9" t="inlineStr">
        <is>
          <t>Alpha (annual, CAPM)</t>
        </is>
      </c>
      <c r="C49" s="31">
        <f>C44-(C27+C48*(C45-C27))</f>
        <v/>
      </c>
    </row>
    <row r="50">
      <c r="B50" s="26" t="inlineStr">
        <is>
          <t>Tracking error (annualised)</t>
        </is>
      </c>
      <c r="C50" s="27">
        <f>STDEV(E30:E41)*SQRT(12)</f>
        <v/>
      </c>
    </row>
    <row r="51">
      <c r="B51" s="9" t="inlineStr">
        <is>
          <t>Information ratio</t>
        </is>
      </c>
      <c r="C51" s="36">
        <f>(C44-C45)/C50</f>
        <v/>
      </c>
    </row>
    <row r="52">
      <c r="B52" s="26" t="inlineStr">
        <is>
          <t>Maximum drawdown</t>
        </is>
      </c>
      <c r="C52" s="27">
        <f>MIN(G30:G41)</f>
        <v/>
      </c>
    </row>
    <row r="54" ht="20" customHeight="1">
      <c r="B54" s="11" t="inlineStr">
        <is>
          <t>Key insights (auto-generated)</t>
        </is>
      </c>
    </row>
    <row r="55" ht="26" customHeight="1">
      <c r="B55" s="37">
        <f>"The portfolio returned "&amp;TEXT(C44,"0.0%")&amp;" vs a benchmark "&amp;TEXT(C45,"0.0%")&amp;", a "&amp;TEXT(C44-C45,"+0.0%;-0.0%")&amp;" excess at "&amp;TEXT(C46,"0.0%")&amp;" volatility (Sharpe "&amp;TEXT(C47,"0.00")&amp;")."</f>
        <v/>
      </c>
    </row>
    <row r="56" ht="26" customHeight="1">
      <c r="B56" s="37">
        <f>"Active risk is modest: tracking error of "&amp;TEXT(C50,"0.0%")&amp;" for an information ratio of "&amp;TEXT(C51,"0.00")&amp;", with beta "&amp;TEXT(C48,"0.00")&amp;" and a worst drawdown of "&amp;TEXT(C52,"0.0%")&amp;"."</f>
        <v/>
      </c>
    </row>
    <row r="57" ht="26" customHeight="1">
      <c r="B57" s="37">
        <f>"Equities have drifted above target, so rebalancing trims winners back toward the strategic weights while keeping the blended TER at "&amp;TEXT(C23,"0.00%")&amp;"."</f>
        <v/>
      </c>
    </row>
  </sheetData>
  <mergeCells count="10">
    <mergeCell ref="B2:K2"/>
    <mergeCell ref="B3:K3"/>
    <mergeCell ref="B7:K7"/>
    <mergeCell ref="B19:D19"/>
    <mergeCell ref="B26:H26"/>
    <mergeCell ref="B43:D43"/>
    <mergeCell ref="B54:K54"/>
    <mergeCell ref="B55:K55"/>
    <mergeCell ref="B56:K56"/>
    <mergeCell ref="B57:K5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2026-09-30T21:21:55Z</dcterms:created>
  <dcterms:modified xmlns:dcterms="http://purl.org/dc/terms/" xmlns:xsi="http://www.w3.org/2001/XMLSchema-instance" xsi:type="dcterms:W3CDTF">2026-09-30T21:21:55Z</dcterms:modified>
</cp:coreProperties>
</file>