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venue Foreca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(#,##0);&quot;-&quot;"/>
    <numFmt numFmtId="165" formatCode="€ #,##0.00"/>
    <numFmt numFmtId="166" formatCode="0.0%;(0.0%);&quot;-&quot;"/>
  </numFmts>
  <fonts count="19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FFFFFF"/>
      <sz val="9"/>
    </font>
    <font>
      <name val="Arial"/>
      <b val="1"/>
      <color rgb="001F3A5F"/>
      <sz val="10"/>
    </font>
    <font>
      <name val="Arial"/>
      <color rgb="00222222"/>
      <sz val="10"/>
    </font>
    <font>
      <name val="Arial"/>
      <b val="1"/>
      <color rgb="000000FF"/>
      <sz val="9"/>
    </font>
    <font>
      <name val="Arial"/>
      <color rgb="00444444"/>
      <sz val="9"/>
    </font>
    <font>
      <name val="Arial"/>
      <b val="1"/>
      <color rgb="00000000"/>
      <sz val="9"/>
    </font>
    <font>
      <name val="Arial"/>
      <b val="1"/>
      <color rgb="00008000"/>
      <sz val="9"/>
    </font>
    <font>
      <name val="Arial"/>
      <b val="1"/>
      <color rgb="001F3A5F"/>
      <sz val="11"/>
    </font>
    <font>
      <name val="Arial"/>
      <color rgb="00000000"/>
      <sz val="10"/>
    </font>
    <font>
      <name val="Arial"/>
      <color rgb="000000FF"/>
      <sz val="10"/>
    </font>
    <font>
      <name val="Arial"/>
      <b val="1"/>
      <color rgb="000000FF"/>
      <sz val="12"/>
    </font>
    <font>
      <name val="Arial"/>
      <b val="1"/>
      <color rgb="00FFFFFF"/>
      <sz val="9"/>
    </font>
    <font>
      <name val="Arial"/>
      <b val="1"/>
      <color rgb="00000000"/>
      <sz val="10"/>
    </font>
    <font>
      <name val="Arial"/>
      <b val="1"/>
      <color rgb="00FFFFFF"/>
      <sz val="10"/>
    </font>
    <font>
      <name val="Arial"/>
      <color rgb="00000000"/>
      <sz val="9.5"/>
    </font>
    <font>
      <name val="Arial"/>
      <b val="1"/>
      <color rgb="00000000"/>
      <sz val="9.5"/>
    </font>
    <font>
      <name val="Arial"/>
      <color rgb="00333333"/>
      <sz val="9.5"/>
    </font>
  </fonts>
  <fills count="7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2E5A88"/>
      </patternFill>
    </fill>
    <fill>
      <patternFill patternType="solid">
        <fgColor rgb="00FFF2CC"/>
      </patternFill>
    </fill>
    <fill>
      <patternFill patternType="solid">
        <fgColor rgb="00EAF0F6"/>
      </patternFill>
    </fill>
    <fill>
      <patternFill patternType="solid">
        <fgColor rgb="0017B890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7" fillId="4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164" fontId="11" fillId="0" borderId="1" applyAlignment="1" pivotButton="0" quotePrefix="0" xfId="0">
      <alignment horizontal="right" vertical="center"/>
    </xf>
    <xf numFmtId="165" fontId="11" fillId="0" borderId="1" applyAlignment="1" pivotButton="0" quotePrefix="0" xfId="0">
      <alignment horizontal="right" vertical="center"/>
    </xf>
    <xf numFmtId="0" fontId="12" fillId="4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left" vertical="center"/>
    </xf>
    <xf numFmtId="0" fontId="13" fillId="3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/>
    </xf>
    <xf numFmtId="166" fontId="11" fillId="4" borderId="1" applyAlignment="1" pivotButton="0" quotePrefix="0" xfId="0">
      <alignment horizontal="right" vertical="center"/>
    </xf>
    <xf numFmtId="164" fontId="10" fillId="0" borderId="1" applyAlignment="1" pivotButton="0" quotePrefix="0" xfId="0">
      <alignment horizontal="right" vertical="center"/>
    </xf>
    <xf numFmtId="164" fontId="14" fillId="5" borderId="1" applyAlignment="1" pivotButton="0" quotePrefix="0" xfId="0">
      <alignment horizontal="right" vertical="center"/>
    </xf>
    <xf numFmtId="165" fontId="10" fillId="0" borderId="1" applyAlignment="1" pivotButton="0" quotePrefix="0" xfId="0">
      <alignment horizontal="right" vertical="center"/>
    </xf>
    <xf numFmtId="165" fontId="14" fillId="5" borderId="1" applyAlignment="1" pivotButton="0" quotePrefix="0" xfId="0">
      <alignment horizontal="right" vertical="center"/>
    </xf>
    <xf numFmtId="0" fontId="15" fillId="2" borderId="1" applyAlignment="1" pivotButton="0" quotePrefix="0" xfId="0">
      <alignment horizontal="left" vertical="center"/>
    </xf>
    <xf numFmtId="164" fontId="15" fillId="2" borderId="1" applyAlignment="1" pivotButton="0" quotePrefix="0" xfId="0">
      <alignment horizontal="right" vertical="center"/>
    </xf>
    <xf numFmtId="164" fontId="15" fillId="6" borderId="1" applyAlignment="1" pivotButton="0" quotePrefix="0" xfId="0">
      <alignment horizontal="right" vertical="center"/>
    </xf>
    <xf numFmtId="164" fontId="16" fillId="0" borderId="1" applyAlignment="1" pivotButton="0" quotePrefix="0" xfId="0">
      <alignment horizontal="right" vertical="center"/>
    </xf>
    <xf numFmtId="164" fontId="17" fillId="0" borderId="1" applyAlignment="1" pivotButton="0" quotePrefix="0" xfId="0">
      <alignment horizontal="right" vertical="center"/>
    </xf>
    <xf numFmtId="0" fontId="10" fillId="5" borderId="1" applyAlignment="1" pivotButton="0" quotePrefix="0" xfId="0">
      <alignment horizontal="left" vertical="center"/>
    </xf>
    <xf numFmtId="164" fontId="16" fillId="5" borderId="1" applyAlignment="1" pivotButton="0" quotePrefix="0" xfId="0">
      <alignment horizontal="right" vertical="center"/>
    </xf>
    <xf numFmtId="164" fontId="17" fillId="5" borderId="1" applyAlignment="1" pivotButton="0" quotePrefix="0" xfId="0">
      <alignment horizontal="right" vertical="center"/>
    </xf>
    <xf numFmtId="166" fontId="15" fillId="2" borderId="1" applyAlignment="1" pivotButton="0" quotePrefix="0" xfId="0">
      <alignment horizontal="right" vertical="center"/>
    </xf>
    <xf numFmtId="0" fontId="18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by Scenario (€000)</a:t>
            </a:r>
          </a:p>
        </rich>
      </tx>
    </title>
    <plotArea>
      <lineChart>
        <grouping val="standard"/>
        <ser>
          <idx val="0"/>
          <order val="0"/>
          <tx>
            <strRef>
              <f>'Revenue Forecast'!D24</f>
            </strRef>
          </tx>
          <spPr>
            <a:ln xmlns:a="http://schemas.openxmlformats.org/drawingml/2006/main" w="24000">
              <a:solidFill>
                <a:srgbClr val="9AA7B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'Revenue Forecast'!$B$25:$B$36</f>
            </numRef>
          </cat>
          <val>
            <numRef>
              <f>'Revenue Forecast'!$D$25:$D$36</f>
            </numRef>
          </val>
        </ser>
        <ser>
          <idx val="1"/>
          <order val="1"/>
          <tx>
            <strRef>
              <f>'Revenue Forecast'!E24</f>
            </strRef>
          </tx>
          <spPr>
            <a:ln xmlns:a="http://schemas.openxmlformats.org/drawingml/2006/main" w="24000">
              <a:solidFill>
                <a:srgbClr val="17B89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'Revenue Forecast'!$B$25:$B$36</f>
            </numRef>
          </cat>
          <val>
            <numRef>
              <f>'Revenue Forecast'!$E$25:$E$36</f>
            </numRef>
          </val>
        </ser>
        <ser>
          <idx val="2"/>
          <order val="2"/>
          <tx>
            <strRef>
              <f>'Revenue Forecast'!F24</f>
            </strRef>
          </tx>
          <spPr>
            <a:ln xmlns:a="http://schemas.openxmlformats.org/drawingml/2006/main" w="24000">
              <a:solidFill>
                <a:srgbClr val="C0392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'Revenue Forecast'!$B$25:$B$36</f>
            </numRef>
          </cat>
          <val>
            <numRef>
              <f>'Revenue Forecast'!$F$25:$F$36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17</row>
      <rowOff>0</rowOff>
    </from>
    <ext cx="61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4" customWidth="1" min="2" max="2"/>
    <col width="60" customWidth="1" min="3" max="3"/>
    <col width="2" customWidth="1" min="4" max="4"/>
  </cols>
  <sheetData>
    <row r="2" ht="30" customHeight="1">
      <c r="B2" s="1" t="inlineStr">
        <is>
          <t>HELIOS CONSUMER GmbH  ·  FP&amp;A Sample Model</t>
        </is>
      </c>
    </row>
    <row r="3" ht="16" customHeight="1">
      <c r="B3" s="2" t="inlineStr">
        <is>
          <t>Illustrative portfolio project. Prepared by Prajit Jawahar</t>
        </is>
      </c>
    </row>
    <row r="5" ht="30" customHeight="1">
      <c r="B5" s="3" t="inlineStr">
        <is>
          <t>Model</t>
        </is>
      </c>
      <c r="C5" s="4" t="inlineStr">
        <is>
          <t>03: Driver-Based Revenue Forecast: Scenarios (FY2026)</t>
        </is>
      </c>
    </row>
    <row r="6" ht="60" customHeight="1">
      <c r="B6" s="3" t="inlineStr">
        <is>
          <t>Purpose</t>
        </is>
      </c>
      <c r="C6" s="4" t="inlineStr">
        <is>
          <t>Forecast revenue from its underlying drivers (volume and price) and flex it across Base, Bull and Bear cases with a single scenario switch, then spread the selected case across the year on a seasonality curve.</t>
        </is>
      </c>
    </row>
    <row r="7" ht="45" customHeight="1">
      <c r="B7" s="3" t="inlineStr">
        <is>
          <t>Techniques shown</t>
        </is>
      </c>
      <c r="C7" s="4" t="inlineStr">
        <is>
          <t>Volume × price driver tree · CHOOSE-based scenario switch · Base/Bull/Bear side-by-side · seasonality spread · sensitivity read-out · multi-series chart.</t>
        </is>
      </c>
    </row>
    <row r="8" ht="45" customHeight="1">
      <c r="B8" s="3" t="inlineStr">
        <is>
          <t>How to use</t>
        </is>
      </c>
      <c r="C8" s="4" t="inlineStr">
        <is>
          <t>Type 1, 2 or 3 in the yellow 'Scenario switch' cell (Base / Bull / Bear). Every monthly figure, the KPI cards and the chart's selected line update instantly.</t>
        </is>
      </c>
    </row>
    <row r="9" ht="30" customHeight="1">
      <c r="B9" s="3" t="inlineStr">
        <is>
          <t>Currency / units</t>
        </is>
      </c>
      <c r="C9" s="4" t="inlineStr">
        <is>
          <t>All figures in EUR thousands (€000) unless stated.</t>
        </is>
      </c>
    </row>
    <row r="10" ht="30" customHeight="1">
      <c r="B10" s="3" t="inlineStr">
        <is>
          <t>Data</t>
        </is>
      </c>
      <c r="C10" s="4" t="inlineStr">
        <is>
          <t>Sample / illustrative figures for a fictional company. Not real financials.</t>
        </is>
      </c>
    </row>
    <row r="12">
      <c r="B12" s="5" t="inlineStr">
        <is>
          <t>Colour key</t>
        </is>
      </c>
    </row>
    <row r="13">
      <c r="B13" s="6" t="inlineStr">
        <is>
          <t xml:space="preserve">  Blue text</t>
        </is>
      </c>
      <c r="C13" s="7" t="inlineStr">
        <is>
          <t>Hard-coded input / assumption you can change</t>
        </is>
      </c>
    </row>
    <row r="14">
      <c r="B14" s="8" t="inlineStr">
        <is>
          <t xml:space="preserve">  Black text</t>
        </is>
      </c>
      <c r="C14" s="7" t="inlineStr">
        <is>
          <t>Formula, recalculates automatically</t>
        </is>
      </c>
    </row>
    <row r="15">
      <c r="B15" s="9" t="inlineStr">
        <is>
          <t xml:space="preserve">  Green text</t>
        </is>
      </c>
      <c r="C15" s="7" t="inlineStr">
        <is>
          <t>Links to another sheet</t>
        </is>
      </c>
    </row>
    <row r="16">
      <c r="B16" s="10" t="inlineStr">
        <is>
          <t xml:space="preserve">  Yellow fill</t>
        </is>
      </c>
      <c r="C16" s="7" t="inlineStr">
        <is>
          <t>Cells intended for you to fill in</t>
        </is>
      </c>
    </row>
  </sheetData>
  <mergeCells count="2">
    <mergeCell ref="B2:C2"/>
    <mergeCell ref="B3:C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4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2" customWidth="1" min="8" max="8"/>
  </cols>
  <sheetData>
    <row r="2" ht="30" customHeight="1">
      <c r="B2" s="1" t="inlineStr">
        <is>
          <t>FY2026 Revenue Forecast: Driver-Based, Scenario-Flexed</t>
        </is>
      </c>
    </row>
    <row r="3" ht="16" customHeight="1">
      <c r="B3" s="2" t="inlineStr">
        <is>
          <t>Revenue = Volume ('000 units) × ASP (€/unit). Figures €000 unless shown. Blue = input, yellow = scenario switch.</t>
        </is>
      </c>
    </row>
    <row r="5" ht="20" customHeight="1">
      <c r="B5" s="11" t="inlineStr">
        <is>
          <t>Base drivers</t>
        </is>
      </c>
    </row>
    <row r="6">
      <c r="B6" s="12" t="inlineStr">
        <is>
          <t>Base annual volume ('000 units)</t>
        </is>
      </c>
      <c r="C6" s="13" t="n">
        <v>1800</v>
      </c>
    </row>
    <row r="7">
      <c r="B7" s="12" t="inlineStr">
        <is>
          <t>Base average selling price (€/unit)</t>
        </is>
      </c>
      <c r="C7" s="14" t="n">
        <v>27.5</v>
      </c>
    </row>
    <row r="9">
      <c r="B9" s="5" t="inlineStr">
        <is>
          <t>Scenario switch  (1=Base, 2=Bull, 3=Bear)</t>
        </is>
      </c>
      <c r="C9" s="15" t="n">
        <v>2</v>
      </c>
      <c r="D9" s="11">
        <f>CHOOSE($C$9,"BASE case","BULL case","BEAR case")</f>
        <v/>
      </c>
    </row>
    <row r="11" ht="20" customHeight="1">
      <c r="B11" s="11" t="inlineStr">
        <is>
          <t>Scenario assumptions</t>
        </is>
      </c>
    </row>
    <row r="12">
      <c r="B12" s="16" t="inlineStr">
        <is>
          <t>Scenario</t>
        </is>
      </c>
      <c r="C12" s="17" t="inlineStr">
        <is>
          <t>Volume growth</t>
        </is>
      </c>
      <c r="D12" s="17" t="inlineStr">
        <is>
          <t>Price change</t>
        </is>
      </c>
    </row>
    <row r="13">
      <c r="B13" s="18" t="inlineStr">
        <is>
          <t>Base</t>
        </is>
      </c>
      <c r="C13" s="19" t="n">
        <v>0.05</v>
      </c>
      <c r="D13" s="19" t="n">
        <v>0.02</v>
      </c>
    </row>
    <row r="14">
      <c r="B14" s="18" t="inlineStr">
        <is>
          <t>Bull</t>
        </is>
      </c>
      <c r="C14" s="19" t="n">
        <v>0.12</v>
      </c>
      <c r="D14" s="19" t="n">
        <v>0.04</v>
      </c>
    </row>
    <row r="15">
      <c r="B15" s="18" t="inlineStr">
        <is>
          <t>Bear</t>
        </is>
      </c>
      <c r="C15" s="19" t="n">
        <v>-0.06</v>
      </c>
      <c r="D15" s="19" t="n">
        <v>-0.01</v>
      </c>
    </row>
    <row r="17" ht="20" customHeight="1">
      <c r="B17" s="11" t="inlineStr">
        <is>
          <t>Annual revenue by scenario (€000)</t>
        </is>
      </c>
    </row>
    <row r="18">
      <c r="B18" s="16" t="inlineStr"/>
      <c r="C18" s="17" t="inlineStr">
        <is>
          <t>Base</t>
        </is>
      </c>
      <c r="D18" s="17" t="inlineStr">
        <is>
          <t>Bull</t>
        </is>
      </c>
      <c r="E18" s="17" t="inlineStr">
        <is>
          <t>Bear</t>
        </is>
      </c>
      <c r="F18" s="17" t="inlineStr">
        <is>
          <t>Selected</t>
        </is>
      </c>
    </row>
    <row r="19">
      <c r="B19" s="18" t="inlineStr">
        <is>
          <t>Volume ('000 units)</t>
        </is>
      </c>
      <c r="C19" s="20">
        <f>$C$6*(1+$C$13)</f>
        <v/>
      </c>
      <c r="D19" s="20">
        <f>$C$6*(1+$C$14)</f>
        <v/>
      </c>
      <c r="E19" s="20">
        <f>$C$6*(1+$C$15)</f>
        <v/>
      </c>
      <c r="F19" s="21">
        <f>CHOOSE($C$9,C19,D19,E19)</f>
        <v/>
      </c>
    </row>
    <row r="20">
      <c r="B20" s="18" t="inlineStr">
        <is>
          <t>ASP (€/unit)</t>
        </is>
      </c>
      <c r="C20" s="22">
        <f>$C$7*(1+$D$13)</f>
        <v/>
      </c>
      <c r="D20" s="22">
        <f>$C$7*(1+$D$14)</f>
        <v/>
      </c>
      <c r="E20" s="22">
        <f>$C$7*(1+$D$15)</f>
        <v/>
      </c>
      <c r="F20" s="23">
        <f>CHOOSE($C$9,C20,D20,E20)</f>
        <v/>
      </c>
    </row>
    <row r="21">
      <c r="B21" s="24" t="inlineStr">
        <is>
          <t>Annual revenue (€000)</t>
        </is>
      </c>
      <c r="C21" s="25">
        <f>C19*C20</f>
        <v/>
      </c>
      <c r="D21" s="25">
        <f>D19*D20</f>
        <v/>
      </c>
      <c r="E21" s="25">
        <f>E19*E20</f>
        <v/>
      </c>
      <c r="F21" s="26">
        <f>F19*F20</f>
        <v/>
      </c>
    </row>
    <row r="23" ht="20" customHeight="1">
      <c r="B23" s="11" t="inlineStr">
        <is>
          <t>Monthly revenue spread (€000)</t>
        </is>
      </c>
    </row>
    <row r="24">
      <c r="B24" s="16" t="inlineStr">
        <is>
          <t>Month</t>
        </is>
      </c>
      <c r="C24" s="17" t="inlineStr">
        <is>
          <t>Seasonality %</t>
        </is>
      </c>
      <c r="D24" s="17" t="inlineStr">
        <is>
          <t>Base</t>
        </is>
      </c>
      <c r="E24" s="17" t="inlineStr">
        <is>
          <t>Bull</t>
        </is>
      </c>
      <c r="F24" s="17" t="inlineStr">
        <is>
          <t>Bear</t>
        </is>
      </c>
      <c r="G24" s="17" t="inlineStr">
        <is>
          <t>Selected</t>
        </is>
      </c>
    </row>
    <row r="25">
      <c r="B25" s="18" t="inlineStr">
        <is>
          <t>Jan</t>
        </is>
      </c>
      <c r="C25" s="19" t="n">
        <v>0.07000000000000001</v>
      </c>
      <c r="D25" s="27">
        <f>C$21*$C25</f>
        <v/>
      </c>
      <c r="E25" s="27">
        <f>D$21*$C25</f>
        <v/>
      </c>
      <c r="F25" s="27">
        <f>E$21*$C25</f>
        <v/>
      </c>
      <c r="G25" s="28">
        <f>$F$21*$C25</f>
        <v/>
      </c>
    </row>
    <row r="26">
      <c r="B26" s="29" t="inlineStr">
        <is>
          <t>Feb</t>
        </is>
      </c>
      <c r="C26" s="19" t="n">
        <v>0.07000000000000001</v>
      </c>
      <c r="D26" s="30">
        <f>C$21*$C26</f>
        <v/>
      </c>
      <c r="E26" s="30">
        <f>D$21*$C26</f>
        <v/>
      </c>
      <c r="F26" s="30">
        <f>E$21*$C26</f>
        <v/>
      </c>
      <c r="G26" s="31">
        <f>$F$21*$C26</f>
        <v/>
      </c>
    </row>
    <row r="27">
      <c r="B27" s="18" t="inlineStr">
        <is>
          <t>Mar</t>
        </is>
      </c>
      <c r="C27" s="19" t="n">
        <v>0.08</v>
      </c>
      <c r="D27" s="27">
        <f>C$21*$C27</f>
        <v/>
      </c>
      <c r="E27" s="27">
        <f>D$21*$C27</f>
        <v/>
      </c>
      <c r="F27" s="27">
        <f>E$21*$C27</f>
        <v/>
      </c>
      <c r="G27" s="28">
        <f>$F$21*$C27</f>
        <v/>
      </c>
    </row>
    <row r="28">
      <c r="B28" s="29" t="inlineStr">
        <is>
          <t>Apr</t>
        </is>
      </c>
      <c r="C28" s="19" t="n">
        <v>0.08</v>
      </c>
      <c r="D28" s="30">
        <f>C$21*$C28</f>
        <v/>
      </c>
      <c r="E28" s="30">
        <f>D$21*$C28</f>
        <v/>
      </c>
      <c r="F28" s="30">
        <f>E$21*$C28</f>
        <v/>
      </c>
      <c r="G28" s="31">
        <f>$F$21*$C28</f>
        <v/>
      </c>
    </row>
    <row r="29">
      <c r="B29" s="18" t="inlineStr">
        <is>
          <t>May</t>
        </is>
      </c>
      <c r="C29" s="19" t="n">
        <v>0.08</v>
      </c>
      <c r="D29" s="27">
        <f>C$21*$C29</f>
        <v/>
      </c>
      <c r="E29" s="27">
        <f>D$21*$C29</f>
        <v/>
      </c>
      <c r="F29" s="27">
        <f>E$21*$C29</f>
        <v/>
      </c>
      <c r="G29" s="28">
        <f>$F$21*$C29</f>
        <v/>
      </c>
    </row>
    <row r="30">
      <c r="B30" s="29" t="inlineStr">
        <is>
          <t>Jun</t>
        </is>
      </c>
      <c r="C30" s="19" t="n">
        <v>0.08</v>
      </c>
      <c r="D30" s="30">
        <f>C$21*$C30</f>
        <v/>
      </c>
      <c r="E30" s="30">
        <f>D$21*$C30</f>
        <v/>
      </c>
      <c r="F30" s="30">
        <f>E$21*$C30</f>
        <v/>
      </c>
      <c r="G30" s="31">
        <f>$F$21*$C30</f>
        <v/>
      </c>
    </row>
    <row r="31">
      <c r="B31" s="18" t="inlineStr">
        <is>
          <t>Jul</t>
        </is>
      </c>
      <c r="C31" s="19" t="n">
        <v>0.075</v>
      </c>
      <c r="D31" s="27">
        <f>C$21*$C31</f>
        <v/>
      </c>
      <c r="E31" s="27">
        <f>D$21*$C31</f>
        <v/>
      </c>
      <c r="F31" s="27">
        <f>E$21*$C31</f>
        <v/>
      </c>
      <c r="G31" s="28">
        <f>$F$21*$C31</f>
        <v/>
      </c>
    </row>
    <row r="32">
      <c r="B32" s="29" t="inlineStr">
        <is>
          <t>Aug</t>
        </is>
      </c>
      <c r="C32" s="19" t="n">
        <v>0.075</v>
      </c>
      <c r="D32" s="30">
        <f>C$21*$C32</f>
        <v/>
      </c>
      <c r="E32" s="30">
        <f>D$21*$C32</f>
        <v/>
      </c>
      <c r="F32" s="30">
        <f>E$21*$C32</f>
        <v/>
      </c>
      <c r="G32" s="31">
        <f>$F$21*$C32</f>
        <v/>
      </c>
    </row>
    <row r="33">
      <c r="B33" s="18" t="inlineStr">
        <is>
          <t>Sep</t>
        </is>
      </c>
      <c r="C33" s="19" t="n">
        <v>0.08500000000000001</v>
      </c>
      <c r="D33" s="27">
        <f>C$21*$C33</f>
        <v/>
      </c>
      <c r="E33" s="27">
        <f>D$21*$C33</f>
        <v/>
      </c>
      <c r="F33" s="27">
        <f>E$21*$C33</f>
        <v/>
      </c>
      <c r="G33" s="28">
        <f>$F$21*$C33</f>
        <v/>
      </c>
    </row>
    <row r="34">
      <c r="B34" s="29" t="inlineStr">
        <is>
          <t>Oct</t>
        </is>
      </c>
      <c r="C34" s="19" t="n">
        <v>0.09</v>
      </c>
      <c r="D34" s="30">
        <f>C$21*$C34</f>
        <v/>
      </c>
      <c r="E34" s="30">
        <f>D$21*$C34</f>
        <v/>
      </c>
      <c r="F34" s="30">
        <f>E$21*$C34</f>
        <v/>
      </c>
      <c r="G34" s="31">
        <f>$F$21*$C34</f>
        <v/>
      </c>
    </row>
    <row r="35">
      <c r="B35" s="18" t="inlineStr">
        <is>
          <t>Nov</t>
        </is>
      </c>
      <c r="C35" s="19" t="n">
        <v>0.1</v>
      </c>
      <c r="D35" s="27">
        <f>C$21*$C35</f>
        <v/>
      </c>
      <c r="E35" s="27">
        <f>D$21*$C35</f>
        <v/>
      </c>
      <c r="F35" s="27">
        <f>E$21*$C35</f>
        <v/>
      </c>
      <c r="G35" s="28">
        <f>$F$21*$C35</f>
        <v/>
      </c>
    </row>
    <row r="36">
      <c r="B36" s="29" t="inlineStr">
        <is>
          <t>Dec</t>
        </is>
      </c>
      <c r="C36" s="19" t="n">
        <v>0.115</v>
      </c>
      <c r="D36" s="30">
        <f>C$21*$C36</f>
        <v/>
      </c>
      <c r="E36" s="30">
        <f>D$21*$C36</f>
        <v/>
      </c>
      <c r="F36" s="30">
        <f>E$21*$C36</f>
        <v/>
      </c>
      <c r="G36" s="31">
        <f>$F$21*$C36</f>
        <v/>
      </c>
    </row>
    <row r="37">
      <c r="B37" s="24" t="inlineStr">
        <is>
          <t>Full Year</t>
        </is>
      </c>
      <c r="C37" s="32">
        <f>SUM(C25:C36)</f>
        <v/>
      </c>
      <c r="D37" s="25">
        <f>SUM(D25:D36)</f>
        <v/>
      </c>
      <c r="E37" s="25">
        <f>SUM(E25:E36)</f>
        <v/>
      </c>
      <c r="F37" s="25">
        <f>SUM(F25:F36)</f>
        <v/>
      </c>
      <c r="G37" s="25">
        <f>SUM(G25:G36)</f>
        <v/>
      </c>
    </row>
    <row r="40" ht="20" customHeight="1">
      <c r="B40" s="11" t="inlineStr">
        <is>
          <t>Key insights (auto-generated)</t>
        </is>
      </c>
    </row>
    <row r="41" ht="26" customHeight="1">
      <c r="B41" s="33">
        <f>"Selected ("&amp;CHOOSE($C$9,"Base","Bull","Bear")&amp;") case forecasts €"&amp;TEXT($F$21,"#,##0")&amp;"k of revenue for FY2026."</f>
        <v/>
      </c>
    </row>
    <row r="42" ht="26" customHeight="1">
      <c r="B42" s="33">
        <f>"Range across cases is €"&amp;TEXT(C21,"#,##0")&amp;"k (Bear) to €"&amp;TEXT(D21,"#,##0")&amp;"k (Bull), a €"&amp;TEXT(D21-C21,"#,##0")&amp;"k swing, driven mostly by volume growth."</f>
        <v/>
      </c>
    </row>
    <row r="43" ht="26" customHeight="1">
      <c r="B43" s="33">
        <f>"Q4 carries ~32% of the year (Oct-Dec seasonality), so a soft peak season is the main downside risk to the plan."</f>
        <v/>
      </c>
    </row>
  </sheetData>
  <mergeCells count="10">
    <mergeCell ref="B2:G2"/>
    <mergeCell ref="B3:G3"/>
    <mergeCell ref="B5:G5"/>
    <mergeCell ref="B11:G11"/>
    <mergeCell ref="B17:G17"/>
    <mergeCell ref="B23:G23"/>
    <mergeCell ref="B40:G40"/>
    <mergeCell ref="B41:G41"/>
    <mergeCell ref="B42:G42"/>
    <mergeCell ref="B43:G43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2026-08-09T17:43:18Z</dcterms:created>
  <dcterms:modified xmlns:dcterms="http://purl.org/dc/terms/" xmlns:xsi="http://www.w3.org/2001/XMLSchema-instance" xsi:type="dcterms:W3CDTF">2026-08-09T17:43:18Z</dcterms:modified>
</cp:coreProperties>
</file>