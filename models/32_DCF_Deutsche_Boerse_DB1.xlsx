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+0.0%;-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1"/>
    </font>
    <font>
      <b val="1"/>
    </font>
    <font>
      <i val="1"/>
      <color rgb="00808080"/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0" borderId="1" pivotButton="0" quotePrefix="0" xfId="0"/>
    <xf numFmtId="3" fontId="3" fillId="0" borderId="1" pivotButton="0" quotePrefix="0" xfId="0"/>
    <xf numFmtId="0" fontId="4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49" fontId="3" fillId="0" borderId="1" pivotButton="0" quotePrefix="0" xfId="0"/>
    <xf numFmtId="0" fontId="5" fillId="0" borderId="0" applyAlignment="1" pivotButton="0" quotePrefix="0" xfId="0">
      <alignment vertical="top" wrapText="1"/>
    </xf>
    <xf numFmtId="0" fontId="3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5" fontId="0" fillId="0" borderId="0" pivotButton="0" quotePrefix="0" xfId="0"/>
    <xf numFmtId="164" fontId="3" fillId="4" borderId="0" pivotButton="0" quotePrefix="0" xfId="0"/>
    <xf numFmtId="3" fontId="3" fillId="4" borderId="0" pivotButton="0" quotePrefix="0" xfId="0"/>
    <xf numFmtId="4" fontId="3" fillId="4" borderId="0" pivotButton="0" quotePrefix="0" xfId="0"/>
    <xf numFmtId="4" fontId="0" fillId="0" borderId="0" pivotButton="0" quotePrefix="0" xfId="0"/>
    <xf numFmtId="10" fontId="3" fillId="4" borderId="0" pivotButton="0" quotePrefix="0" xfId="0"/>
    <xf numFmtId="164" fontId="3" fillId="3" borderId="0" pivotButton="0" quotePrefix="0" xfId="0"/>
    <xf numFmtId="4" fontId="0" fillId="4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52" customWidth="1" min="3" max="3"/>
  </cols>
  <sheetData>
    <row r="1" ht="24" customHeight="1">
      <c r="A1" s="1" t="inlineStr">
        <is>
          <t>Deutsche Börse AG (DB1) — DCF Inputs  |  all € million unless stated</t>
        </is>
      </c>
    </row>
    <row r="3">
      <c r="A3" s="2" t="inlineStr">
        <is>
          <t>FY2025 ACTUALS (preliminary results, 11 Feb 2026)</t>
        </is>
      </c>
    </row>
    <row r="4">
      <c r="A4" s="3" t="inlineStr">
        <is>
          <t>Net revenue w/o treasury result</t>
        </is>
      </c>
      <c r="B4" s="4" t="n">
        <v>5189</v>
      </c>
      <c r="C4" s="5" t="inlineStr">
        <is>
          <t>Company release p.3</t>
        </is>
      </c>
    </row>
    <row r="5">
      <c r="A5" s="3" t="inlineStr">
        <is>
          <t>Treasury result (banking &amp; similar)</t>
        </is>
      </c>
      <c r="B5" s="4" t="n">
        <v>837</v>
      </c>
      <c r="C5" s="5" t="inlineStr">
        <is>
          <t>Company release p.3 (2024: 1,050)</t>
        </is>
      </c>
    </row>
    <row r="6">
      <c r="A6" s="3" t="inlineStr">
        <is>
          <t>Net revenue, total</t>
        </is>
      </c>
      <c r="B6" s="4" t="n">
        <v>6026</v>
      </c>
      <c r="C6" s="5" t="inlineStr">
        <is>
          <t>sum of the two rows above</t>
        </is>
      </c>
    </row>
    <row r="7">
      <c r="A7" s="3" t="inlineStr">
        <is>
          <t>Operating costs</t>
        </is>
      </c>
      <c r="B7" s="4" t="n">
        <v>2534</v>
      </c>
      <c r="C7" s="5" t="inlineStr">
        <is>
          <t>Company release p.3</t>
        </is>
      </c>
    </row>
    <row r="8">
      <c r="A8" s="3" t="inlineStr">
        <is>
          <t>EBITDA, total</t>
        </is>
      </c>
      <c r="B8" s="4" t="n">
        <v>3512</v>
      </c>
      <c r="C8" s="5" t="inlineStr">
        <is>
          <t>Company release p.3</t>
        </is>
      </c>
    </row>
    <row r="9">
      <c r="A9" s="3" t="inlineStr">
        <is>
          <t>EBITDA w/o treasury result</t>
        </is>
      </c>
      <c r="B9" s="4" t="n">
        <v>2675</v>
      </c>
      <c r="C9" s="5" t="inlineStr">
        <is>
          <t>Company release p.3</t>
        </is>
      </c>
    </row>
    <row r="10">
      <c r="A10" s="3" t="inlineStr">
        <is>
          <t>Depreciation, amortisation &amp; impairment</t>
        </is>
      </c>
      <c r="B10" s="4" t="n">
        <v>502</v>
      </c>
      <c r="C10" s="5" t="inlineStr">
        <is>
          <t>Company release p.3</t>
        </is>
      </c>
    </row>
    <row r="11">
      <c r="A11" s="3" t="inlineStr">
        <is>
          <t>EBIT</t>
        </is>
      </c>
      <c r="B11" s="4" t="n">
        <v>3010</v>
      </c>
      <c r="C11" s="5" t="inlineStr">
        <is>
          <t>Company release p.3</t>
        </is>
      </c>
    </row>
    <row r="12">
      <c r="A12" s="3" t="inlineStr">
        <is>
          <t>Earnings before tax</t>
        </is>
      </c>
      <c r="B12" s="4" t="n">
        <v>2857</v>
      </c>
      <c r="C12" s="5" t="inlineStr">
        <is>
          <t>Company release p.3</t>
        </is>
      </c>
    </row>
    <row r="13">
      <c r="A13" s="3" t="inlineStr">
        <is>
          <t>Income tax &amp; other tax</t>
        </is>
      </c>
      <c r="B13" s="4" t="n">
        <v>753</v>
      </c>
      <c r="C13" s="5" t="inlineStr">
        <is>
          <t>Company release p.3</t>
        </is>
      </c>
    </row>
    <row r="14">
      <c r="A14" s="3" t="inlineStr">
        <is>
          <t>Effective tax rate</t>
        </is>
      </c>
      <c r="B14" s="6">
        <f>B13/B12</f>
        <v/>
      </c>
      <c r="C14" s="5" t="inlineStr">
        <is>
          <t>derived</t>
        </is>
      </c>
    </row>
    <row r="15">
      <c r="A15" s="3" t="inlineStr">
        <is>
          <t>Net profit attrib. to DB1 shareholders</t>
        </is>
      </c>
      <c r="B15" s="4" t="n">
        <v>1995</v>
      </c>
      <c r="C15" s="5" t="inlineStr">
        <is>
          <t>Company release p.3</t>
        </is>
      </c>
    </row>
    <row r="16">
      <c r="A16" s="3" t="inlineStr">
        <is>
          <t>Net profit attrib. to minorities</t>
        </is>
      </c>
      <c r="B16" s="4" t="n">
        <v>109</v>
      </c>
      <c r="C16" s="5" t="inlineStr">
        <is>
          <t>Company release p.3</t>
        </is>
      </c>
    </row>
    <row r="17">
      <c r="A17" s="2" t="inlineStr">
        <is>
          <t>FY2026 COMPANY GUIDANCE (CMD 10 Dec 2025)</t>
        </is>
      </c>
    </row>
    <row r="18">
      <c r="A18" s="3" t="inlineStr">
        <is>
          <t>Net revenue w/o treasury, 2026E</t>
        </is>
      </c>
      <c r="B18" s="4" t="n">
        <v>5700</v>
      </c>
      <c r="C18" s="5" t="inlineStr">
        <is>
          <t>Company release p.2</t>
        </is>
      </c>
    </row>
    <row r="19">
      <c r="A19" s="3" t="inlineStr">
        <is>
          <t>EBITDA w/o treasury, 2026E</t>
        </is>
      </c>
      <c r="B19" s="4" t="n">
        <v>3100</v>
      </c>
      <c r="C19" s="5" t="inlineStr">
        <is>
          <t>Company release p.2</t>
        </is>
      </c>
    </row>
    <row r="20">
      <c r="A20" s="3" t="inlineStr">
        <is>
          <t>Treasury result, 2026E</t>
        </is>
      </c>
      <c r="B20" s="4" t="n">
        <v>700</v>
      </c>
      <c r="C20" s="5" t="inlineStr">
        <is>
          <t>Company release p.2 ('around €0.7bn')</t>
        </is>
      </c>
    </row>
    <row r="21">
      <c r="A21" s="2" t="inlineStr">
        <is>
          <t>MARKET DATA (stockanalysis.com, 6 Oct 2026)</t>
        </is>
      </c>
    </row>
    <row r="22">
      <c r="A22" s="3" t="inlineStr">
        <is>
          <t>Share price, €</t>
        </is>
      </c>
      <c r="B22" s="7" t="n">
        <v>293.7</v>
      </c>
      <c r="C22" s="5" t="inlineStr">
        <is>
          <t>ETR:DB1</t>
        </is>
      </c>
    </row>
    <row r="23">
      <c r="A23" s="3" t="inlineStr">
        <is>
          <t>Shares outstanding, million</t>
        </is>
      </c>
      <c r="B23" s="7" t="n">
        <v>180.29</v>
      </c>
      <c r="C23" s="5" t="inlineStr">
        <is>
          <t>post-buyback count</t>
        </is>
      </c>
    </row>
    <row r="24">
      <c r="A24" s="3" t="inlineStr">
        <is>
          <t>Net debt</t>
        </is>
      </c>
      <c r="B24" s="4" t="n">
        <v>4410</v>
      </c>
      <c r="C24" s="5" t="inlineStr">
        <is>
          <t>total debt 6,190 less cash 1,780</t>
        </is>
      </c>
    </row>
    <row r="25">
      <c r="A25" s="3" t="inlineStr">
        <is>
          <t>Total debt (for WACC weights)</t>
        </is>
      </c>
      <c r="B25" s="4" t="n">
        <v>6190</v>
      </c>
      <c r="C25" s="5" t="inlineStr">
        <is>
          <t>stockanalysis.com</t>
        </is>
      </c>
    </row>
    <row r="26">
      <c r="A26" s="2" t="inlineStr">
        <is>
          <t>ANALYST ASSUMPTIONS (mine — challenge these)</t>
        </is>
      </c>
    </row>
    <row r="27">
      <c r="A27" s="3" t="inlineStr">
        <is>
          <t>Risk-free rate (10Y Bund)</t>
        </is>
      </c>
      <c r="B27" s="6" t="n">
        <v>0.026</v>
      </c>
      <c r="C27" s="5" t="inlineStr">
        <is>
          <t>[verify on posting day]</t>
        </is>
      </c>
    </row>
    <row r="28">
      <c r="A28" s="3" t="inlineStr">
        <is>
          <t>Equity risk premium</t>
        </is>
      </c>
      <c r="B28" s="6" t="n">
        <v>0.055</v>
      </c>
      <c r="C28" s="5" t="inlineStr">
        <is>
          <t>Damodaran, mature market</t>
        </is>
      </c>
    </row>
    <row r="29">
      <c r="A29" s="3" t="inlineStr">
        <is>
          <t>Beta (levered, judgement)</t>
        </is>
      </c>
      <c r="B29" s="7" t="n">
        <v>0.7</v>
      </c>
      <c r="C29" s="5" t="inlineStr">
        <is>
          <t>5Y raw beta 0.30 looks too low; peer-informed</t>
        </is>
      </c>
    </row>
    <row r="30">
      <c r="A30" s="3" t="inlineStr">
        <is>
          <t>Pre-tax cost of debt</t>
        </is>
      </c>
      <c r="B30" s="6" t="n">
        <v>0.035</v>
      </c>
      <c r="C30" s="5" t="inlineStr">
        <is>
          <t>recent DB1 bond yields, approx.</t>
        </is>
      </c>
    </row>
    <row r="31">
      <c r="A31" s="3" t="inlineStr">
        <is>
          <t>Terminal growth g</t>
        </is>
      </c>
      <c r="B31" s="6" t="n">
        <v>0.02</v>
      </c>
      <c r="C31" s="5" t="inlineStr">
        <is>
          <t>≈ long-run eurozone inflation</t>
        </is>
      </c>
    </row>
    <row r="32">
      <c r="A32" s="3" t="inlineStr">
        <is>
          <t>Rev w/o treasury growth 2027-2030</t>
        </is>
      </c>
      <c r="B32" s="8" t="inlineStr">
        <is>
          <t>8% / 7% / 6% / 5%</t>
        </is>
      </c>
      <c r="C32" s="5" t="inlineStr">
        <is>
          <t>taper from 9.8% guidance year</t>
        </is>
      </c>
    </row>
    <row r="33">
      <c r="A33" s="3" t="inlineStr">
        <is>
          <t>EBITDA-xT margin path 2026-2030</t>
        </is>
      </c>
      <c r="B33" s="8" t="inlineStr">
        <is>
          <t>54.4% → 56.0%</t>
        </is>
      </c>
      <c r="C33" s="5" t="inlineStr">
        <is>
          <t>+0.4pt/yr operating leverage, capped</t>
        </is>
      </c>
    </row>
    <row r="34">
      <c r="A34" s="3" t="inlineStr">
        <is>
          <t>Treasury result 2027-2030</t>
        </is>
      </c>
      <c r="B34" s="4" t="n">
        <v>700</v>
      </c>
      <c r="C34" s="5" t="inlineStr">
        <is>
          <t>held flat at guidance level</t>
        </is>
      </c>
    </row>
    <row r="35">
      <c r="A35" s="3" t="inlineStr">
        <is>
          <t>D&amp;A as % of rev w/o treasury</t>
        </is>
      </c>
      <c r="B35" s="6">
        <f>B10/B4</f>
        <v/>
      </c>
      <c r="C35" s="5" t="inlineStr">
        <is>
          <t>FY2025 ratio held</t>
        </is>
      </c>
    </row>
    <row r="36">
      <c r="A36" s="3" t="inlineStr">
        <is>
          <t>Capex as % of D&amp;A</t>
        </is>
      </c>
      <c r="B36" s="7" t="n">
        <v>1.1</v>
      </c>
      <c r="C36" s="5" t="inlineStr">
        <is>
          <t>intangible-heavy reinvestment</t>
        </is>
      </c>
    </row>
    <row r="37">
      <c r="A37" s="3" t="inlineStr">
        <is>
          <t>Change in working capital</t>
        </is>
      </c>
      <c r="B37" s="4" t="n">
        <v>0</v>
      </c>
      <c r="C37" s="5" t="inlineStr">
        <is>
          <t>fee business; banking WC excluded — see note</t>
        </is>
      </c>
    </row>
    <row r="38">
      <c r="A38" s="3" t="inlineStr">
        <is>
          <t>Minority interest valuation multiple</t>
        </is>
      </c>
      <c r="B38" s="4" t="n">
        <v>20</v>
      </c>
      <c r="C38" s="5" t="inlineStr">
        <is>
          <t>× minority net profit (book value n/a in prelim.)</t>
        </is>
      </c>
    </row>
    <row r="40">
      <c r="A40" s="9" t="inlineStr">
        <is>
          <t>Note: Clearstream's client cash balances make DB1 a part-bank. Classic working-capital forecasting is meaningless here; the banking book shows up through the treasury result line instead. This model values FCFF = EBITDA (incl. treasury result, treated as operating) − cash tax on EBIT − capex.</t>
        </is>
      </c>
    </row>
    <row r="41"/>
    <row r="42"/>
  </sheetData>
  <mergeCells count="6">
    <mergeCell ref="A1:D1"/>
    <mergeCell ref="A3:C3"/>
    <mergeCell ref="A17:C17"/>
    <mergeCell ref="A21:C21"/>
    <mergeCell ref="A26:C26"/>
    <mergeCell ref="A40:C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1" t="inlineStr">
        <is>
          <t>DCF — FCFF, 2026E–2030E  |  € million</t>
        </is>
      </c>
    </row>
    <row r="3">
      <c r="A3" s="10" t="inlineStr">
        <is>
          <t>Year</t>
        </is>
      </c>
      <c r="B3" s="10" t="inlineStr">
        <is>
          <t>2026E</t>
        </is>
      </c>
      <c r="C3" s="10" t="inlineStr">
        <is>
          <t>2027E</t>
        </is>
      </c>
      <c r="D3" s="10" t="inlineStr">
        <is>
          <t>2028E</t>
        </is>
      </c>
      <c r="E3" s="10" t="inlineStr">
        <is>
          <t>2029E</t>
        </is>
      </c>
      <c r="F3" s="10" t="inlineStr">
        <is>
          <t>2030E</t>
        </is>
      </c>
    </row>
    <row r="4">
      <c r="A4" t="inlineStr">
        <is>
          <t>Rev w/o treasury growth</t>
        </is>
      </c>
      <c r="B4" s="11">
        <f>Inputs!$B$18/Inputs!$B$4-1</f>
        <v/>
      </c>
      <c r="C4" s="11" t="n">
        <v>0.08</v>
      </c>
      <c r="D4" s="11" t="n">
        <v>0.07000000000000001</v>
      </c>
      <c r="E4" s="11" t="n">
        <v>0.06</v>
      </c>
      <c r="F4" s="11" t="n">
        <v>0.05</v>
      </c>
    </row>
    <row r="5">
      <c r="A5" t="inlineStr">
        <is>
          <t>Net revenue w/o treasury</t>
        </is>
      </c>
      <c r="B5" s="12">
        <f>Inputs!$B$18</f>
        <v/>
      </c>
      <c r="C5" s="12">
        <f>B5*(1+C4)</f>
        <v/>
      </c>
      <c r="D5" s="12">
        <f>C5*(1+D4)</f>
        <v/>
      </c>
      <c r="E5" s="12">
        <f>D5*(1+E4)</f>
        <v/>
      </c>
      <c r="F5" s="12">
        <f>E5*(1+F4)</f>
        <v/>
      </c>
    </row>
    <row r="6">
      <c r="A6" t="inlineStr">
        <is>
          <t>EBITDA-xT margin</t>
        </is>
      </c>
      <c r="B6" s="11">
        <f>Inputs!$B$19/Inputs!$B$18</f>
        <v/>
      </c>
      <c r="C6" s="11">
        <f>MIN(B6+0.004,0.56)</f>
        <v/>
      </c>
      <c r="D6" s="11">
        <f>MIN(C6+0.004,0.56)</f>
        <v/>
      </c>
      <c r="E6" s="11">
        <f>MIN(D6+0.004,0.56)</f>
        <v/>
      </c>
      <c r="F6" s="11">
        <f>MIN(E6+0.004,0.56)</f>
        <v/>
      </c>
    </row>
    <row r="7">
      <c r="A7" t="inlineStr">
        <is>
          <t>EBITDA w/o treasury</t>
        </is>
      </c>
      <c r="B7" s="12">
        <f>B5*B6</f>
        <v/>
      </c>
      <c r="C7" s="12">
        <f>C5*C6</f>
        <v/>
      </c>
      <c r="D7" s="12">
        <f>D5*D6</f>
        <v/>
      </c>
      <c r="E7" s="12">
        <f>E5*E6</f>
        <v/>
      </c>
      <c r="F7" s="12">
        <f>F5*F6</f>
        <v/>
      </c>
    </row>
    <row r="8">
      <c r="A8" t="inlineStr">
        <is>
          <t>Treasury result</t>
        </is>
      </c>
      <c r="B8" s="12">
        <f>Inputs!$B$20</f>
        <v/>
      </c>
      <c r="C8" s="12">
        <f>Inputs!$B$34</f>
        <v/>
      </c>
      <c r="D8" s="12">
        <f>Inputs!$B$34</f>
        <v/>
      </c>
      <c r="E8" s="12">
        <f>Inputs!$B$34</f>
        <v/>
      </c>
      <c r="F8" s="12">
        <f>Inputs!$B$34</f>
        <v/>
      </c>
    </row>
    <row r="9">
      <c r="A9" s="13" t="inlineStr">
        <is>
          <t>EBITDA, total</t>
        </is>
      </c>
      <c r="B9" s="14">
        <f>B7+B8</f>
        <v/>
      </c>
      <c r="C9" s="14">
        <f>C7+C8</f>
        <v/>
      </c>
      <c r="D9" s="14">
        <f>D7+D8</f>
        <v/>
      </c>
      <c r="E9" s="14">
        <f>E7+E8</f>
        <v/>
      </c>
      <c r="F9" s="14">
        <f>F7+F8</f>
        <v/>
      </c>
    </row>
    <row r="10">
      <c r="A10" t="inlineStr">
        <is>
          <t>D&amp;A</t>
        </is>
      </c>
      <c r="B10" s="12">
        <f>-B5*Inputs!$B$35</f>
        <v/>
      </c>
      <c r="C10" s="12">
        <f>-C5*Inputs!$B$35</f>
        <v/>
      </c>
      <c r="D10" s="12">
        <f>-D5*Inputs!$B$35</f>
        <v/>
      </c>
      <c r="E10" s="12">
        <f>-E5*Inputs!$B$35</f>
        <v/>
      </c>
      <c r="F10" s="12">
        <f>-F5*Inputs!$B$35</f>
        <v/>
      </c>
    </row>
    <row r="11">
      <c r="A11" t="inlineStr">
        <is>
          <t>EBIT</t>
        </is>
      </c>
      <c r="B11" s="12">
        <f>B9+B10</f>
        <v/>
      </c>
      <c r="C11" s="12">
        <f>C9+C10</f>
        <v/>
      </c>
      <c r="D11" s="12">
        <f>D9+D10</f>
        <v/>
      </c>
      <c r="E11" s="12">
        <f>E9+E10</f>
        <v/>
      </c>
      <c r="F11" s="12">
        <f>F9+F10</f>
        <v/>
      </c>
    </row>
    <row r="12">
      <c r="A12" t="inlineStr">
        <is>
          <t>Cash tax on EBIT</t>
        </is>
      </c>
      <c r="B12" s="12">
        <f>-B11*Inputs!$B$14</f>
        <v/>
      </c>
      <c r="C12" s="12">
        <f>-C11*Inputs!$B$14</f>
        <v/>
      </c>
      <c r="D12" s="12">
        <f>-D11*Inputs!$B$14</f>
        <v/>
      </c>
      <c r="E12" s="12">
        <f>-E11*Inputs!$B$14</f>
        <v/>
      </c>
      <c r="F12" s="12">
        <f>-F11*Inputs!$B$14</f>
        <v/>
      </c>
    </row>
    <row r="13">
      <c r="A13" t="inlineStr">
        <is>
          <t>Capex</t>
        </is>
      </c>
      <c r="B13" s="12">
        <f>B10*Inputs!$B$36</f>
        <v/>
      </c>
      <c r="C13" s="12">
        <f>C10*Inputs!$B$36</f>
        <v/>
      </c>
      <c r="D13" s="12">
        <f>D10*Inputs!$B$36</f>
        <v/>
      </c>
      <c r="E13" s="12">
        <f>E10*Inputs!$B$36</f>
        <v/>
      </c>
      <c r="F13" s="12">
        <f>F10*Inputs!$B$36</f>
        <v/>
      </c>
    </row>
    <row r="14">
      <c r="A14" t="inlineStr">
        <is>
          <t>Change in WC</t>
        </is>
      </c>
      <c r="B14" s="12">
        <f>Inputs!$B$37</f>
        <v/>
      </c>
      <c r="C14" s="12">
        <f>Inputs!$B$37</f>
        <v/>
      </c>
      <c r="D14" s="12">
        <f>Inputs!$B$37</f>
        <v/>
      </c>
      <c r="E14" s="12">
        <f>Inputs!$B$37</f>
        <v/>
      </c>
      <c r="F14" s="12">
        <f>Inputs!$B$37</f>
        <v/>
      </c>
    </row>
    <row r="15">
      <c r="A15" s="13" t="inlineStr">
        <is>
          <t>FCFF</t>
        </is>
      </c>
      <c r="B15" s="14">
        <f>B9+B12+B13+B14</f>
        <v/>
      </c>
      <c r="C15" s="14">
        <f>C9+C12+C13+C14</f>
        <v/>
      </c>
      <c r="D15" s="14">
        <f>D9+D12+D13+D14</f>
        <v/>
      </c>
      <c r="E15" s="14">
        <f>E9+E12+E13+E14</f>
        <v/>
      </c>
      <c r="F15" s="14">
        <f>F9+F12+F13+F14</f>
        <v/>
      </c>
    </row>
    <row r="16">
      <c r="A16" t="inlineStr">
        <is>
          <t>Discount factor</t>
        </is>
      </c>
      <c r="B16" s="15">
        <f>1/(1+$B$22)^1</f>
        <v/>
      </c>
      <c r="C16" s="15">
        <f>1/(1+$B$22)^2</f>
        <v/>
      </c>
      <c r="D16" s="15">
        <f>1/(1+$B$22)^3</f>
        <v/>
      </c>
      <c r="E16" s="15">
        <f>1/(1+$B$22)^4</f>
        <v/>
      </c>
      <c r="F16" s="15">
        <f>1/(1+$B$22)^5</f>
        <v/>
      </c>
    </row>
    <row r="17">
      <c r="A17" t="inlineStr">
        <is>
          <t>PV of FCFF</t>
        </is>
      </c>
      <c r="B17" s="12">
        <f>B15*B16</f>
        <v/>
      </c>
      <c r="C17" s="12">
        <f>C15*C16</f>
        <v/>
      </c>
      <c r="D17" s="12">
        <f>D15*D16</f>
        <v/>
      </c>
      <c r="E17" s="12">
        <f>E15*E16</f>
        <v/>
      </c>
      <c r="F17" s="12">
        <f>F15*F16</f>
        <v/>
      </c>
    </row>
    <row r="19">
      <c r="A19" s="2" t="inlineStr">
        <is>
          <t>WACC</t>
        </is>
      </c>
    </row>
    <row r="20">
      <c r="A20" t="inlineStr">
        <is>
          <t>Cost of equity (CAPM)</t>
        </is>
      </c>
      <c r="B20" s="11">
        <f>Inputs!$B$27+Inputs!$B$29*Inputs!$B$28</f>
        <v/>
      </c>
    </row>
    <row r="21">
      <c r="A21" t="inlineStr">
        <is>
          <t>After-tax cost of debt</t>
        </is>
      </c>
      <c r="B21" s="11">
        <f>Inputs!$B$30*(1-Inputs!$B$14)</f>
        <v/>
      </c>
    </row>
    <row r="22">
      <c r="A22" s="13" t="inlineStr">
        <is>
          <t>WACC</t>
        </is>
      </c>
      <c r="B22" s="16">
        <f>(Inputs!$B$22*Inputs!$B$23/(Inputs!$B$22*Inputs!$B$23+Inputs!$B$25))*B20+(Inputs!$B$25/(Inputs!$B$22*Inputs!$B$23+Inputs!$B$25))*B21</f>
        <v/>
      </c>
    </row>
    <row r="24">
      <c r="A24" s="2" t="inlineStr">
        <is>
          <t>VALUATION BRIDGE</t>
        </is>
      </c>
    </row>
    <row r="25">
      <c r="A25" t="inlineStr">
        <is>
          <t>Sum PV of FCFF 2026-2030</t>
        </is>
      </c>
      <c r="B25" s="12">
        <f>SUM(B17:F17)</f>
        <v/>
      </c>
    </row>
    <row r="26">
      <c r="A26" t="inlineStr">
        <is>
          <t>Terminal value (Gordon, at 2030)</t>
        </is>
      </c>
      <c r="B26" s="12">
        <f>F15*(1+Inputs!$B$31)/($B$22-Inputs!$B$31)</f>
        <v/>
      </c>
    </row>
    <row r="27">
      <c r="A27" t="inlineStr">
        <is>
          <t>PV of terminal value</t>
        </is>
      </c>
      <c r="B27" s="12">
        <f>B26*F16</f>
        <v/>
      </c>
    </row>
    <row r="28">
      <c r="A28" t="inlineStr">
        <is>
          <t>Enterprise value</t>
        </is>
      </c>
      <c r="B28" s="12">
        <f>B25+B27</f>
        <v/>
      </c>
    </row>
    <row r="29">
      <c r="A29" t="inlineStr">
        <is>
          <t>Less: net debt</t>
        </is>
      </c>
      <c r="B29" s="12">
        <f>-Inputs!$B$24</f>
        <v/>
      </c>
    </row>
    <row r="30">
      <c r="A30" t="inlineStr">
        <is>
          <t>Less: minority interest (est.)</t>
        </is>
      </c>
      <c r="B30" s="12">
        <f>-Inputs!$B$16*Inputs!$B$38</f>
        <v/>
      </c>
    </row>
    <row r="31">
      <c r="A31" s="13" t="inlineStr">
        <is>
          <t>Equity value</t>
        </is>
      </c>
      <c r="B31" s="17">
        <f>B28+B29+B30</f>
        <v/>
      </c>
    </row>
    <row r="32">
      <c r="A32" s="13" t="inlineStr">
        <is>
          <t>Value per share, €</t>
        </is>
      </c>
      <c r="B32" s="18">
        <f>B31/Inputs!$B$23</f>
        <v/>
      </c>
    </row>
    <row r="33">
      <c r="A33" t="inlineStr">
        <is>
          <t>Share price (6 Oct 2026), €</t>
        </is>
      </c>
      <c r="B33" s="19">
        <f>Inputs!$B$22</f>
        <v/>
      </c>
    </row>
    <row r="34">
      <c r="A34" s="13" t="inlineStr">
        <is>
          <t>Upside / (downside)</t>
        </is>
      </c>
      <c r="B34" s="16">
        <f>B32/B33-1</f>
        <v/>
      </c>
    </row>
    <row r="36">
      <c r="A36" s="2" t="inlineStr">
        <is>
          <t>WHAT THE MARKET PRICE IMPLIES</t>
        </is>
      </c>
    </row>
    <row r="37">
      <c r="A37" t="inlineStr">
        <is>
          <t>Market-implied enterprise value</t>
        </is>
      </c>
      <c r="B37" s="12">
        <f>Inputs!$B$22*Inputs!$B$23+Inputs!$B$24+Inputs!$B$16*Inputs!$B$38</f>
        <v/>
      </c>
    </row>
    <row r="38">
      <c r="A38" t="inlineStr">
        <is>
          <t>Required terminal value at 2030</t>
        </is>
      </c>
      <c r="B38" s="12">
        <f>(B37-B25)/F16</f>
        <v/>
      </c>
    </row>
    <row r="39">
      <c r="A39" s="13" t="inlineStr">
        <is>
          <t>Implied perpetual growth g*</t>
        </is>
      </c>
      <c r="B39" s="20">
        <f>($B$22*B38-F15)/(B38+F15)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24" customHeight="1">
      <c r="A1" s="1" t="inlineStr">
        <is>
          <t>Value per share (€) — terminal growth × WACC</t>
        </is>
      </c>
    </row>
    <row r="3">
      <c r="A3" s="10" t="inlineStr">
        <is>
          <t>g \ WACC</t>
        </is>
      </c>
      <c r="B3" s="21" t="n">
        <v>0.055</v>
      </c>
      <c r="C3" s="21" t="n">
        <v>0.0575</v>
      </c>
      <c r="D3" s="21" t="n">
        <v>0.06</v>
      </c>
      <c r="E3" s="21" t="n">
        <v>0.0625</v>
      </c>
      <c r="F3" s="21" t="n">
        <v>0.065</v>
      </c>
    </row>
    <row r="4">
      <c r="A4" s="21" t="n">
        <v>0.01</v>
      </c>
      <c r="B4" s="19">
        <f>((DCF!B15/(1+B$3)^1+DCF!C15/(1+B$3)^2+DCF!D15/(1+B$3)^3+DCF!E15/(1+B$3)^4+DCF!F15/(1+B$3)^5)+DCF!F15*(1+$A$4)/(B$3-$A$4)/(1+B$3)^5-Inputs!$B$24-Inputs!$B$16*Inputs!$B$38)/Inputs!$B$23</f>
        <v/>
      </c>
      <c r="C4" s="19">
        <f>((DCF!B15/(1+C$3)^1+DCF!C15/(1+C$3)^2+DCF!D15/(1+C$3)^3+DCF!E15/(1+C$3)^4+DCF!F15/(1+C$3)^5)+DCF!F15*(1+$A$4)/(C$3-$A$4)/(1+C$3)^5-Inputs!$B$24-Inputs!$B$16*Inputs!$B$38)/Inputs!$B$23</f>
        <v/>
      </c>
      <c r="D4" s="19">
        <f>((DCF!B15/(1+D$3)^1+DCF!C15/(1+D$3)^2+DCF!D15/(1+D$3)^3+DCF!E15/(1+D$3)^4+DCF!F15/(1+D$3)^5)+DCF!F15*(1+$A$4)/(D$3-$A$4)/(1+D$3)^5-Inputs!$B$24-Inputs!$B$16*Inputs!$B$38)/Inputs!$B$23</f>
        <v/>
      </c>
      <c r="E4" s="19">
        <f>((DCF!B15/(1+E$3)^1+DCF!C15/(1+E$3)^2+DCF!D15/(1+E$3)^3+DCF!E15/(1+E$3)^4+DCF!F15/(1+E$3)^5)+DCF!F15*(1+$A$4)/(E$3-$A$4)/(1+E$3)^5-Inputs!$B$24-Inputs!$B$16*Inputs!$B$38)/Inputs!$B$23</f>
        <v/>
      </c>
      <c r="F4" s="19">
        <f>((DCF!B15/(1+F$3)^1+DCF!C15/(1+F$3)^2+DCF!D15/(1+F$3)^3+DCF!E15/(1+F$3)^4+DCF!F15/(1+F$3)^5)+DCF!F15*(1+$A$4)/(F$3-$A$4)/(1+F$3)^5-Inputs!$B$24-Inputs!$B$16*Inputs!$B$38)/Inputs!$B$23</f>
        <v/>
      </c>
    </row>
    <row r="5">
      <c r="A5" s="21" t="n">
        <v>0.015</v>
      </c>
      <c r="B5" s="19">
        <f>((DCF!B15/(1+B$3)^1+DCF!C15/(1+B$3)^2+DCF!D15/(1+B$3)^3+DCF!E15/(1+B$3)^4+DCF!F15/(1+B$3)^5)+DCF!F15*(1+$A$5)/(B$3-$A$5)/(1+B$3)^5-Inputs!$B$24-Inputs!$B$16*Inputs!$B$38)/Inputs!$B$23</f>
        <v/>
      </c>
      <c r="C5" s="19">
        <f>((DCF!B15/(1+C$3)^1+DCF!C15/(1+C$3)^2+DCF!D15/(1+C$3)^3+DCF!E15/(1+C$3)^4+DCF!F15/(1+C$3)^5)+DCF!F15*(1+$A$5)/(C$3-$A$5)/(1+C$3)^5-Inputs!$B$24-Inputs!$B$16*Inputs!$B$38)/Inputs!$B$23</f>
        <v/>
      </c>
      <c r="D5" s="19">
        <f>((DCF!B15/(1+D$3)^1+DCF!C15/(1+D$3)^2+DCF!D15/(1+D$3)^3+DCF!E15/(1+D$3)^4+DCF!F15/(1+D$3)^5)+DCF!F15*(1+$A$5)/(D$3-$A$5)/(1+D$3)^5-Inputs!$B$24-Inputs!$B$16*Inputs!$B$38)/Inputs!$B$23</f>
        <v/>
      </c>
      <c r="E5" s="19">
        <f>((DCF!B15/(1+E$3)^1+DCF!C15/(1+E$3)^2+DCF!D15/(1+E$3)^3+DCF!E15/(1+E$3)^4+DCF!F15/(1+E$3)^5)+DCF!F15*(1+$A$5)/(E$3-$A$5)/(1+E$3)^5-Inputs!$B$24-Inputs!$B$16*Inputs!$B$38)/Inputs!$B$23</f>
        <v/>
      </c>
      <c r="F5" s="19">
        <f>((DCF!B15/(1+F$3)^1+DCF!C15/(1+F$3)^2+DCF!D15/(1+F$3)^3+DCF!E15/(1+F$3)^4+DCF!F15/(1+F$3)^5)+DCF!F15*(1+$A$5)/(F$3-$A$5)/(1+F$3)^5-Inputs!$B$24-Inputs!$B$16*Inputs!$B$38)/Inputs!$B$23</f>
        <v/>
      </c>
    </row>
    <row r="6">
      <c r="A6" s="21" t="n">
        <v>0.02</v>
      </c>
      <c r="B6" s="19">
        <f>((DCF!B15/(1+B$3)^1+DCF!C15/(1+B$3)^2+DCF!D15/(1+B$3)^3+DCF!E15/(1+B$3)^4+DCF!F15/(1+B$3)^5)+DCF!F15*(1+$A$6)/(B$3-$A$6)/(1+B$3)^5-Inputs!$B$24-Inputs!$B$16*Inputs!$B$38)/Inputs!$B$23</f>
        <v/>
      </c>
      <c r="C6" s="19">
        <f>((DCF!B15/(1+C$3)^1+DCF!C15/(1+C$3)^2+DCF!D15/(1+C$3)^3+DCF!E15/(1+C$3)^4+DCF!F15/(1+C$3)^5)+DCF!F15*(1+$A$6)/(C$3-$A$6)/(1+C$3)^5-Inputs!$B$24-Inputs!$B$16*Inputs!$B$38)/Inputs!$B$23</f>
        <v/>
      </c>
      <c r="D6" s="22">
        <f>((DCF!B15/(1+D$3)^1+DCF!C15/(1+D$3)^2+DCF!D15/(1+D$3)^3+DCF!E15/(1+D$3)^4+DCF!F15/(1+D$3)^5)+DCF!F15*(1+$A$6)/(D$3-$A$6)/(1+D$3)^5-Inputs!$B$24-Inputs!$B$16*Inputs!$B$38)/Inputs!$B$23</f>
        <v/>
      </c>
      <c r="E6" s="19">
        <f>((DCF!B15/(1+E$3)^1+DCF!C15/(1+E$3)^2+DCF!D15/(1+E$3)^3+DCF!E15/(1+E$3)^4+DCF!F15/(1+E$3)^5)+DCF!F15*(1+$A$6)/(E$3-$A$6)/(1+E$3)^5-Inputs!$B$24-Inputs!$B$16*Inputs!$B$38)/Inputs!$B$23</f>
        <v/>
      </c>
      <c r="F6" s="19">
        <f>((DCF!B15/(1+F$3)^1+DCF!C15/(1+F$3)^2+DCF!D15/(1+F$3)^3+DCF!E15/(1+F$3)^4+DCF!F15/(1+F$3)^5)+DCF!F15*(1+$A$6)/(F$3-$A$6)/(1+F$3)^5-Inputs!$B$24-Inputs!$B$16*Inputs!$B$38)/Inputs!$B$23</f>
        <v/>
      </c>
    </row>
    <row r="7">
      <c r="A7" s="21" t="n">
        <v>0.025</v>
      </c>
      <c r="B7" s="19">
        <f>((DCF!B15/(1+B$3)^1+DCF!C15/(1+B$3)^2+DCF!D15/(1+B$3)^3+DCF!E15/(1+B$3)^4+DCF!F15/(1+B$3)^5)+DCF!F15*(1+$A$7)/(B$3-$A$7)/(1+B$3)^5-Inputs!$B$24-Inputs!$B$16*Inputs!$B$38)/Inputs!$B$23</f>
        <v/>
      </c>
      <c r="C7" s="19">
        <f>((DCF!B15/(1+C$3)^1+DCF!C15/(1+C$3)^2+DCF!D15/(1+C$3)^3+DCF!E15/(1+C$3)^4+DCF!F15/(1+C$3)^5)+DCF!F15*(1+$A$7)/(C$3-$A$7)/(1+C$3)^5-Inputs!$B$24-Inputs!$B$16*Inputs!$B$38)/Inputs!$B$23</f>
        <v/>
      </c>
      <c r="D7" s="19">
        <f>((DCF!B15/(1+D$3)^1+DCF!C15/(1+D$3)^2+DCF!D15/(1+D$3)^3+DCF!E15/(1+D$3)^4+DCF!F15/(1+D$3)^5)+DCF!F15*(1+$A$7)/(D$3-$A$7)/(1+D$3)^5-Inputs!$B$24-Inputs!$B$16*Inputs!$B$38)/Inputs!$B$23</f>
        <v/>
      </c>
      <c r="E7" s="19">
        <f>((DCF!B15/(1+E$3)^1+DCF!C15/(1+E$3)^2+DCF!D15/(1+E$3)^3+DCF!E15/(1+E$3)^4+DCF!F15/(1+E$3)^5)+DCF!F15*(1+$A$7)/(E$3-$A$7)/(1+E$3)^5-Inputs!$B$24-Inputs!$B$16*Inputs!$B$38)/Inputs!$B$23</f>
        <v/>
      </c>
      <c r="F7" s="19">
        <f>((DCF!B15/(1+F$3)^1+DCF!C15/(1+F$3)^2+DCF!D15/(1+F$3)^3+DCF!E15/(1+F$3)^4+DCF!F15/(1+F$3)^5)+DCF!F15*(1+$A$7)/(F$3-$A$7)/(1+F$3)^5-Inputs!$B$24-Inputs!$B$16*Inputs!$B$38)/Inputs!$B$23</f>
        <v/>
      </c>
    </row>
    <row r="8">
      <c r="A8" s="21" t="n">
        <v>0.03</v>
      </c>
      <c r="B8" s="19">
        <f>((DCF!B15/(1+B$3)^1+DCF!C15/(1+B$3)^2+DCF!D15/(1+B$3)^3+DCF!E15/(1+B$3)^4+DCF!F15/(1+B$3)^5)+DCF!F15*(1+$A$8)/(B$3-$A$8)/(1+B$3)^5-Inputs!$B$24-Inputs!$B$16*Inputs!$B$38)/Inputs!$B$23</f>
        <v/>
      </c>
      <c r="C8" s="19">
        <f>((DCF!B15/(1+C$3)^1+DCF!C15/(1+C$3)^2+DCF!D15/(1+C$3)^3+DCF!E15/(1+C$3)^4+DCF!F15/(1+C$3)^5)+DCF!F15*(1+$A$8)/(C$3-$A$8)/(1+C$3)^5-Inputs!$B$24-Inputs!$B$16*Inputs!$B$38)/Inputs!$B$23</f>
        <v/>
      </c>
      <c r="D8" s="19">
        <f>((DCF!B15/(1+D$3)^1+DCF!C15/(1+D$3)^2+DCF!D15/(1+D$3)^3+DCF!E15/(1+D$3)^4+DCF!F15/(1+D$3)^5)+DCF!F15*(1+$A$8)/(D$3-$A$8)/(1+D$3)^5-Inputs!$B$24-Inputs!$B$16*Inputs!$B$38)/Inputs!$B$23</f>
        <v/>
      </c>
      <c r="E8" s="19">
        <f>((DCF!B15/(1+E$3)^1+DCF!C15/(1+E$3)^2+DCF!D15/(1+E$3)^3+DCF!E15/(1+E$3)^4+DCF!F15/(1+E$3)^5)+DCF!F15*(1+$A$8)/(E$3-$A$8)/(1+E$3)^5-Inputs!$B$24-Inputs!$B$16*Inputs!$B$38)/Inputs!$B$23</f>
        <v/>
      </c>
      <c r="F8" s="19">
        <f>((DCF!B15/(1+F$3)^1+DCF!C15/(1+F$3)^2+DCF!D15/(1+F$3)^3+DCF!E15/(1+F$3)^4+DCF!F15/(1+F$3)^5)+DCF!F15*(1+$A$8)/(F$3-$A$8)/(1+F$3)^5-Inputs!$B$24-Inputs!$B$16*Inputs!$B$38)/Inputs!$B$23</f>
        <v/>
      </c>
    </row>
    <row r="10">
      <c r="A10" s="13" t="inlineStr">
        <is>
          <t>Swing from ±0.5pt terminal growth (at 6.0% WACC):</t>
        </is>
      </c>
    </row>
    <row r="11">
      <c r="A11" t="inlineStr">
        <is>
          <t>g = 1.5% vs base 2.0%</t>
        </is>
      </c>
      <c r="B11" s="23">
        <f>D5/D6-1</f>
        <v/>
      </c>
    </row>
    <row r="12">
      <c r="A12" t="inlineStr">
        <is>
          <t>g = 2.5% vs base 2.0%</t>
        </is>
      </c>
      <c r="B12" s="23">
        <f>D7/D6-1</f>
        <v/>
      </c>
    </row>
    <row r="14">
      <c r="A14" s="24" t="inlineStr">
        <is>
          <t>Sources: DB1 preliminary FY2025 results (11 Feb 2026); stockanalysis.com (6 Oct 2026). Model: Prajit Jawahar.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2026-10-08T13:15:02Z</dcterms:created>
  <dcterms:modified xmlns:dcterms="http://purl.org/dc/terms/" xmlns:xsi="http://www.w3.org/2001/XMLSchema-instance" xsi:type="dcterms:W3CDTF">2026-10-08T13:15:02Z</dcterms:modified>
</cp:coreProperties>
</file>