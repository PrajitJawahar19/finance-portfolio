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Capital Structur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#,##0;(#,##0);&quot;-&quot;"/>
    <numFmt numFmtId="165" formatCode="0.0%;(0.0%);&quot;-&quot;"/>
    <numFmt numFmtId="166" formatCode="0&quot;x&quot;"/>
    <numFmt numFmtId="167" formatCode="0.0&quot;x&quot;"/>
  </numFmts>
  <fonts count="18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i val="1"/>
      <color rgb="00FFFFFF"/>
      <sz val="9"/>
    </font>
    <font>
      <name val="Arial"/>
      <b val="1"/>
      <color rgb="001F3A5F"/>
      <sz val="10"/>
    </font>
    <font>
      <name val="Arial"/>
      <color rgb="00222222"/>
      <sz val="10"/>
    </font>
    <font>
      <name val="Arial"/>
      <b val="1"/>
      <color rgb="000000FF"/>
      <sz val="9"/>
    </font>
    <font>
      <name val="Arial"/>
      <color rgb="00444444"/>
      <sz val="9"/>
    </font>
    <font>
      <name val="Arial"/>
      <b val="1"/>
      <color rgb="00000000"/>
      <sz val="9"/>
    </font>
    <font>
      <name val="Arial"/>
      <b val="1"/>
      <color rgb="00008000"/>
      <sz val="9"/>
    </font>
    <font>
      <name val="Arial"/>
      <b val="1"/>
      <color rgb="001F3A5F"/>
      <sz val="11"/>
    </font>
    <font>
      <name val="Arial"/>
      <b val="1"/>
      <color rgb="000000FF"/>
      <sz val="10"/>
    </font>
    <font>
      <name val="Arial"/>
      <color rgb="00000000"/>
      <sz val="10"/>
    </font>
    <font>
      <name val="Arial"/>
      <b val="1"/>
      <color rgb="00FFFFFF"/>
      <sz val="8.5"/>
    </font>
    <font>
      <name val="Arial"/>
      <color rgb="000000FF"/>
      <sz val="10"/>
    </font>
    <font>
      <name val="Arial"/>
      <b val="1"/>
      <color rgb="00000000"/>
      <sz val="10"/>
    </font>
    <font>
      <name val="Arial"/>
      <b val="1"/>
      <color rgb="00222222"/>
      <sz val="10"/>
    </font>
    <font>
      <name val="Arial"/>
      <b val="1"/>
      <color rgb="00FFFFFF"/>
      <sz val="10"/>
    </font>
    <font>
      <name val="Arial"/>
      <color rgb="00333333"/>
      <sz val="9.5"/>
    </font>
  </fonts>
  <fills count="7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2E5A88"/>
      </patternFill>
    </fill>
    <fill>
      <patternFill patternType="solid">
        <fgColor rgb="00FFF2CC"/>
      </patternFill>
    </fill>
    <fill>
      <patternFill patternType="solid">
        <fgColor rgb="00EAF0F6"/>
      </patternFill>
    </fill>
    <fill>
      <patternFill patternType="solid">
        <fgColor rgb="0017B890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7" fillId="4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  <xf numFmtId="164" fontId="10" fillId="4" borderId="1" applyAlignment="1" pivotButton="0" quotePrefix="0" xfId="0">
      <alignment horizontal="right" vertical="center"/>
    </xf>
    <xf numFmtId="2" fontId="10" fillId="4" borderId="1" applyAlignment="1" pivotButton="0" quotePrefix="0" xfId="0">
      <alignment horizontal="right" vertical="center"/>
    </xf>
    <xf numFmtId="165" fontId="10" fillId="4" borderId="1" applyAlignment="1" pivotButton="0" quotePrefix="0" xfId="0">
      <alignment horizontal="right" vertical="center"/>
    </xf>
    <xf numFmtId="0" fontId="12" fillId="3" borderId="1" applyAlignment="1" pivotButton="0" quotePrefix="0" xfId="0">
      <alignment horizontal="center" vertical="center" wrapText="1"/>
    </xf>
    <xf numFmtId="166" fontId="13" fillId="4" borderId="1" applyAlignment="1" pivotButton="0" quotePrefix="0" xfId="0">
      <alignment horizontal="center" vertical="center"/>
    </xf>
    <xf numFmtId="164" fontId="11" fillId="0" borderId="1" applyAlignment="1" pivotButton="0" quotePrefix="0" xfId="0">
      <alignment horizontal="right" vertical="center"/>
    </xf>
    <xf numFmtId="167" fontId="11" fillId="0" borderId="1" applyAlignment="1" pivotButton="0" quotePrefix="0" xfId="0">
      <alignment horizontal="right" vertical="center"/>
    </xf>
    <xf numFmtId="165" fontId="11" fillId="0" borderId="1" applyAlignment="1" pivotButton="0" quotePrefix="0" xfId="0">
      <alignment horizontal="right" vertical="center"/>
    </xf>
    <xf numFmtId="2" fontId="11" fillId="0" borderId="1" applyAlignment="1" pivotButton="0" quotePrefix="0" xfId="0">
      <alignment horizontal="right" vertical="center"/>
    </xf>
    <xf numFmtId="165" fontId="14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  <xf numFmtId="165" fontId="15" fillId="5" borderId="1" applyAlignment="1" pivotButton="0" quotePrefix="0" xfId="0">
      <alignment horizontal="right" vertical="center"/>
    </xf>
    <xf numFmtId="0" fontId="16" fillId="6" borderId="1" applyAlignment="1" pivotButton="0" quotePrefix="0" xfId="0">
      <alignment horizontal="left" vertical="center"/>
    </xf>
    <xf numFmtId="167" fontId="16" fillId="6" borderId="1" applyAlignment="1" pivotButton="0" quotePrefix="0" xfId="0">
      <alignment horizontal="right" vertical="center"/>
    </xf>
    <xf numFmtId="167" fontId="4" fillId="0" borderId="1" applyAlignment="1" pivotButton="0" quotePrefix="0" xfId="0">
      <alignment horizontal="right" vertical="center"/>
    </xf>
    <xf numFmtId="0" fontId="17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WACC vs leverage</a:t>
            </a:r>
          </a:p>
        </rich>
      </tx>
    </title>
    <plotArea>
      <lineChart>
        <grouping val="standard"/>
        <ser>
          <idx val="0"/>
          <order val="0"/>
          <spPr>
            <a:ln xmlns:a="http://schemas.openxmlformats.org/drawingml/2006/main" w="28000">
              <a:solidFill>
                <a:srgbClr val="17B89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'Capital Structure'!$G$18:$G$23</f>
            </numRef>
          </cat>
          <val>
            <numRef>
              <f>'Capital Structure'!$N$18:$N$23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0.0%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29</row>
      <rowOff>0</rowOff>
    </from>
    <ext cx="540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15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4" customWidth="1" min="2" max="2"/>
    <col width="60" customWidth="1" min="3" max="3"/>
    <col width="2" customWidth="1" min="4" max="4"/>
  </cols>
  <sheetData>
    <row r="2" ht="30" customHeight="1">
      <c r="B2" s="1" t="inlineStr">
        <is>
          <t>HELIOS CONSUMER GmbH  ·  Sample Model</t>
        </is>
      </c>
    </row>
    <row r="3" ht="16" customHeight="1">
      <c r="B3" s="2" t="inlineStr">
        <is>
          <t>Illustrative portfolio project. Prepared by Prajit Jawahar</t>
        </is>
      </c>
    </row>
    <row r="5" ht="30" customHeight="1">
      <c r="B5" s="3" t="inlineStr">
        <is>
          <t>Model</t>
        </is>
      </c>
      <c r="C5" s="4" t="inlineStr">
        <is>
          <t>24: Capital Structure &amp; WACC Optimization</t>
        </is>
      </c>
    </row>
    <row r="6" ht="60" customHeight="1">
      <c r="B6" s="3" t="inlineStr">
        <is>
          <t>Purpose</t>
        </is>
      </c>
      <c r="C6" s="4" t="inlineStr">
        <is>
          <t>Test how leverage changes the cost of capital and firm value for Helios: step through leverage levels, re-lever beta, widen the credit spread, track credit metrics, and find the capital structure that minimises WACC and maximises value.</t>
        </is>
      </c>
    </row>
    <row r="7" ht="45" customHeight="1">
      <c r="B7" s="3" t="inlineStr">
        <is>
          <t>Techniques shown</t>
        </is>
      </c>
      <c r="C7" s="4" t="inlineStr">
        <is>
          <t>Levered beta (Hamada) · cost of equity (CAPM) · credit-spread widening · WACC curve · credit metrics (Debt/EBITDA, interest coverage) · value-maximising leverage.</t>
        </is>
      </c>
    </row>
    <row r="8" ht="45" customHeight="1">
      <c r="B8" s="3" t="inlineStr">
        <is>
          <t>How to use</t>
        </is>
      </c>
      <c r="C8" s="4" t="inlineStr">
        <is>
          <t>Change the blue enterprise value, EBIT/EBITDA, tax, beta or spread inputs; the WACC curve, credit metrics and optimal structure update.</t>
        </is>
      </c>
    </row>
    <row r="9" ht="30" customHeight="1">
      <c r="B9" s="3" t="inlineStr">
        <is>
          <t>Currency / units</t>
        </is>
      </c>
      <c r="C9" s="4" t="inlineStr">
        <is>
          <t>See each sheet header for units.</t>
        </is>
      </c>
    </row>
    <row r="10" ht="30" customHeight="1">
      <c r="B10" s="3" t="inlineStr">
        <is>
          <t>Data</t>
        </is>
      </c>
      <c r="C10" s="4" t="inlineStr">
        <is>
          <t>Sample / illustrative figures for a fictional company. Not real financials.</t>
        </is>
      </c>
    </row>
    <row r="12">
      <c r="B12" s="5" t="inlineStr">
        <is>
          <t xml:space="preserve">  Blue text</t>
        </is>
      </c>
      <c r="C12" s="6" t="inlineStr">
        <is>
          <t>Hard-coded input / assumption you can change</t>
        </is>
      </c>
    </row>
    <row r="13">
      <c r="B13" s="7" t="inlineStr">
        <is>
          <t xml:space="preserve">  Black text</t>
        </is>
      </c>
      <c r="C13" s="6" t="inlineStr">
        <is>
          <t>Formula, recalculates automatically</t>
        </is>
      </c>
    </row>
    <row r="14">
      <c r="B14" s="8" t="inlineStr">
        <is>
          <t xml:space="preserve">  Green text</t>
        </is>
      </c>
      <c r="C14" s="6" t="inlineStr">
        <is>
          <t>Links to another sheet</t>
        </is>
      </c>
    </row>
    <row r="15">
      <c r="B15" s="9" t="inlineStr">
        <is>
          <t xml:space="preserve">  Yellow fill</t>
        </is>
      </c>
      <c r="C15" s="6" t="inlineStr">
        <is>
          <t>Cells intended for you to fill in</t>
        </is>
      </c>
    </row>
  </sheetData>
  <mergeCells count="2">
    <mergeCell ref="B2:C2"/>
    <mergeCell ref="B3:C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P47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4" customWidth="1" min="2" max="2"/>
    <col width="13" customWidth="1" min="3" max="3"/>
    <col width="2" customWidth="1" min="4" max="4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</cols>
  <sheetData>
    <row r="2" ht="30" customHeight="1">
      <c r="B2" s="1" t="inlineStr">
        <is>
          <t>Capital Structure &amp; WACC</t>
        </is>
      </c>
    </row>
    <row r="3" ht="16" customHeight="1">
      <c r="B3" s="2" t="inlineStr">
        <is>
          <t>€000 unless %. Blue = input.</t>
        </is>
      </c>
    </row>
    <row r="5" ht="20" customHeight="1">
      <c r="B5" s="10" t="inlineStr">
        <is>
          <t>Assumptions</t>
        </is>
      </c>
    </row>
    <row r="6">
      <c r="B6" s="11" t="inlineStr">
        <is>
          <t>Enterprise value (€000)</t>
        </is>
      </c>
      <c r="C6" s="12" t="n">
        <v>60000</v>
      </c>
    </row>
    <row r="7">
      <c r="B7" s="11" t="inlineStr">
        <is>
          <t>EBITDA (€000)</t>
        </is>
      </c>
      <c r="C7" s="12" t="n">
        <v>6200</v>
      </c>
    </row>
    <row r="8">
      <c r="B8" s="11" t="inlineStr">
        <is>
          <t>EBIT (€000)</t>
        </is>
      </c>
      <c r="C8" s="12" t="n">
        <v>5000</v>
      </c>
    </row>
    <row r="9">
      <c r="B9" s="11" t="inlineStr">
        <is>
          <t>Unlevered beta</t>
        </is>
      </c>
      <c r="C9" s="13" t="n">
        <v>0.9</v>
      </c>
    </row>
    <row r="10">
      <c r="B10" s="11" t="inlineStr">
        <is>
          <t>Risk-free rate</t>
        </is>
      </c>
      <c r="C10" s="14" t="n">
        <v>0.03</v>
      </c>
    </row>
    <row r="11">
      <c r="B11" s="11" t="inlineStr">
        <is>
          <t>Equity risk premium</t>
        </is>
      </c>
      <c r="C11" s="14" t="n">
        <v>0.06</v>
      </c>
    </row>
    <row r="12">
      <c r="B12" s="11" t="inlineStr">
        <is>
          <t>Base cost of debt</t>
        </is>
      </c>
      <c r="C12" s="14" t="n">
        <v>0.04</v>
      </c>
    </row>
    <row r="13">
      <c r="B13" s="11" t="inlineStr">
        <is>
          <t>Credit spread per turn of leverage</t>
        </is>
      </c>
      <c r="C13" s="14" t="n">
        <v>0.004</v>
      </c>
    </row>
    <row r="14">
      <c r="B14" s="11" t="inlineStr">
        <is>
          <t>Tax rate</t>
        </is>
      </c>
      <c r="C14" s="14" t="n">
        <v>0.3</v>
      </c>
    </row>
    <row r="16" ht="20" customHeight="1">
      <c r="G16" s="10" t="inlineStr">
        <is>
          <t>Leverage scenarios</t>
        </is>
      </c>
    </row>
    <row r="17" ht="30" customHeight="1">
      <c r="G17" s="15" t="inlineStr">
        <is>
          <t>Debt/EBITDA</t>
        </is>
      </c>
      <c r="H17" s="15" t="inlineStr">
        <is>
          <t>Debt</t>
        </is>
      </c>
      <c r="I17" s="15" t="inlineStr">
        <is>
          <t>Equity</t>
        </is>
      </c>
      <c r="J17" s="15" t="inlineStr">
        <is>
          <t>D/E</t>
        </is>
      </c>
      <c r="K17" s="15" t="inlineStr">
        <is>
          <t>Cost of debt</t>
        </is>
      </c>
      <c r="L17" s="15" t="inlineStr">
        <is>
          <t>Levered beta</t>
        </is>
      </c>
      <c r="M17" s="15" t="inlineStr">
        <is>
          <t>Cost of equity</t>
        </is>
      </c>
      <c r="N17" s="15" t="inlineStr">
        <is>
          <t>WACC</t>
        </is>
      </c>
      <c r="O17" s="15" t="inlineStr">
        <is>
          <t>Interest</t>
        </is>
      </c>
      <c r="P17" s="15" t="inlineStr">
        <is>
          <t>Int. coverage</t>
        </is>
      </c>
    </row>
    <row r="18">
      <c r="G18" s="16" t="n">
        <v>0</v>
      </c>
      <c r="H18" s="17">
        <f>G18*$C$7</f>
        <v/>
      </c>
      <c r="I18" s="17">
        <f>$C$6-H18</f>
        <v/>
      </c>
      <c r="J18" s="18">
        <f>IF(I18&lt;=0,"n/a",H18/I18)</f>
        <v/>
      </c>
      <c r="K18" s="19">
        <f>$C$12+G18*$C$13</f>
        <v/>
      </c>
      <c r="L18" s="20">
        <f>$C$9*(1+(1-$C$14)*H18/I18)</f>
        <v/>
      </c>
      <c r="M18" s="19">
        <f>$C$10+L18*$C$11</f>
        <v/>
      </c>
      <c r="N18" s="21">
        <f>(I18/$C$6)*M18+(H18/$C$6)*K18*(1-$C$14)</f>
        <v/>
      </c>
      <c r="O18" s="17">
        <f>H18*K18</f>
        <v/>
      </c>
      <c r="P18" s="18">
        <f>IF(O18=0,"n/a",$C$8/O18)</f>
        <v/>
      </c>
    </row>
    <row r="19">
      <c r="G19" s="16" t="n">
        <v>1</v>
      </c>
      <c r="H19" s="17">
        <f>G19*$C$7</f>
        <v/>
      </c>
      <c r="I19" s="17">
        <f>$C$6-H19</f>
        <v/>
      </c>
      <c r="J19" s="18">
        <f>IF(I19&lt;=0,"n/a",H19/I19)</f>
        <v/>
      </c>
      <c r="K19" s="19">
        <f>$C$12+G19*$C$13</f>
        <v/>
      </c>
      <c r="L19" s="20">
        <f>$C$9*(1+(1-$C$14)*H19/I19)</f>
        <v/>
      </c>
      <c r="M19" s="19">
        <f>$C$10+L19*$C$11</f>
        <v/>
      </c>
      <c r="N19" s="21">
        <f>(I19/$C$6)*M19+(H19/$C$6)*K19*(1-$C$14)</f>
        <v/>
      </c>
      <c r="O19" s="17">
        <f>H19*K19</f>
        <v/>
      </c>
      <c r="P19" s="18">
        <f>IF(O19=0,"n/a",$C$8/O19)</f>
        <v/>
      </c>
    </row>
    <row r="20">
      <c r="G20" s="16" t="n">
        <v>2</v>
      </c>
      <c r="H20" s="17">
        <f>G20*$C$7</f>
        <v/>
      </c>
      <c r="I20" s="17">
        <f>$C$6-H20</f>
        <v/>
      </c>
      <c r="J20" s="18">
        <f>IF(I20&lt;=0,"n/a",H20/I20)</f>
        <v/>
      </c>
      <c r="K20" s="19">
        <f>$C$12+G20*$C$13</f>
        <v/>
      </c>
      <c r="L20" s="20">
        <f>$C$9*(1+(1-$C$14)*H20/I20)</f>
        <v/>
      </c>
      <c r="M20" s="19">
        <f>$C$10+L20*$C$11</f>
        <v/>
      </c>
      <c r="N20" s="21">
        <f>(I20/$C$6)*M20+(H20/$C$6)*K20*(1-$C$14)</f>
        <v/>
      </c>
      <c r="O20" s="17">
        <f>H20*K20</f>
        <v/>
      </c>
      <c r="P20" s="18">
        <f>IF(O20=0,"n/a",$C$8/O20)</f>
        <v/>
      </c>
    </row>
    <row r="21">
      <c r="G21" s="16" t="n">
        <v>3</v>
      </c>
      <c r="H21" s="17">
        <f>G21*$C$7</f>
        <v/>
      </c>
      <c r="I21" s="17">
        <f>$C$6-H21</f>
        <v/>
      </c>
      <c r="J21" s="18">
        <f>IF(I21&lt;=0,"n/a",H21/I21)</f>
        <v/>
      </c>
      <c r="K21" s="19">
        <f>$C$12+G21*$C$13</f>
        <v/>
      </c>
      <c r="L21" s="20">
        <f>$C$9*(1+(1-$C$14)*H21/I21)</f>
        <v/>
      </c>
      <c r="M21" s="19">
        <f>$C$10+L21*$C$11</f>
        <v/>
      </c>
      <c r="N21" s="21">
        <f>(I21/$C$6)*M21+(H21/$C$6)*K21*(1-$C$14)</f>
        <v/>
      </c>
      <c r="O21" s="17">
        <f>H21*K21</f>
        <v/>
      </c>
      <c r="P21" s="18">
        <f>IF(O21=0,"n/a",$C$8/O21)</f>
        <v/>
      </c>
    </row>
    <row r="22">
      <c r="G22" s="16" t="n">
        <v>4</v>
      </c>
      <c r="H22" s="17">
        <f>G22*$C$7</f>
        <v/>
      </c>
      <c r="I22" s="17">
        <f>$C$6-H22</f>
        <v/>
      </c>
      <c r="J22" s="18">
        <f>IF(I22&lt;=0,"n/a",H22/I22)</f>
        <v/>
      </c>
      <c r="K22" s="19">
        <f>$C$12+G22*$C$13</f>
        <v/>
      </c>
      <c r="L22" s="20">
        <f>$C$9*(1+(1-$C$14)*H22/I22)</f>
        <v/>
      </c>
      <c r="M22" s="19">
        <f>$C$10+L22*$C$11</f>
        <v/>
      </c>
      <c r="N22" s="21">
        <f>(I22/$C$6)*M22+(H22/$C$6)*K22*(1-$C$14)</f>
        <v/>
      </c>
      <c r="O22" s="17">
        <f>H22*K22</f>
        <v/>
      </c>
      <c r="P22" s="18">
        <f>IF(O22=0,"n/a",$C$8/O22)</f>
        <v/>
      </c>
    </row>
    <row r="23">
      <c r="G23" s="16" t="n">
        <v>5</v>
      </c>
      <c r="H23" s="17">
        <f>G23*$C$7</f>
        <v/>
      </c>
      <c r="I23" s="17">
        <f>$C$6-H23</f>
        <v/>
      </c>
      <c r="J23" s="18">
        <f>IF(I23&lt;=0,"n/a",H23/I23)</f>
        <v/>
      </c>
      <c r="K23" s="19">
        <f>$C$12+G23*$C$13</f>
        <v/>
      </c>
      <c r="L23" s="20">
        <f>$C$9*(1+(1-$C$14)*H23/I23)</f>
        <v/>
      </c>
      <c r="M23" s="19">
        <f>$C$10+L23*$C$11</f>
        <v/>
      </c>
      <c r="N23" s="21">
        <f>(I23/$C$6)*M23+(H23/$C$6)*K23*(1-$C$14)</f>
        <v/>
      </c>
      <c r="O23" s="17">
        <f>H23*K23</f>
        <v/>
      </c>
      <c r="P23" s="18">
        <f>IF(O23=0,"n/a",$C$8/O23)</f>
        <v/>
      </c>
    </row>
    <row r="25" ht="20" customHeight="1">
      <c r="B25" s="10" t="inlineStr">
        <is>
          <t>Optimal structure</t>
        </is>
      </c>
    </row>
    <row r="26">
      <c r="B26" s="22" t="inlineStr">
        <is>
          <t>Minimum WACC</t>
        </is>
      </c>
      <c r="C26" s="23">
        <f>MIN(N18:N23)</f>
        <v/>
      </c>
    </row>
    <row r="27">
      <c r="B27" s="24" t="inlineStr">
        <is>
          <t>Optimal leverage (Debt/EBITDA)</t>
        </is>
      </c>
      <c r="C27" s="25">
        <f>INDEX(G18:G23,MATCH(MIN(N18:N23),N18:N23,0))</f>
        <v/>
      </c>
    </row>
    <row r="28">
      <c r="B28" s="11" t="inlineStr">
        <is>
          <t>Interest coverage at optimum</t>
        </is>
      </c>
      <c r="C28" s="26">
        <f>INDEX(P18:P23,MATCH(MIN(N18:N23),N18:N23,0))</f>
        <v/>
      </c>
    </row>
    <row r="46" ht="20" customHeight="1">
      <c r="B46" s="10" t="inlineStr">
        <is>
          <t>Key insight (auto-generated)</t>
        </is>
      </c>
    </row>
    <row r="47" ht="40" customHeight="1">
      <c r="B47" s="27">
        <f>"WACC bottoms at "&amp;TEXT(C26,"0.0%")&amp;" around "&amp;TEXT(C27,"0.0")&amp;"x Debt/EBITDA; beyond that, a wider credit spread and higher equity risk outweigh the tax shield. Interest coverage there is "&amp;TEXT(C28,"0.0")&amp;"x."</f>
        <v/>
      </c>
    </row>
  </sheetData>
  <mergeCells count="7">
    <mergeCell ref="B2:C2"/>
    <mergeCell ref="B3:C3"/>
    <mergeCell ref="B5:C5"/>
    <mergeCell ref="G16:O16"/>
    <mergeCell ref="B25:C25"/>
    <mergeCell ref="B46:I46"/>
    <mergeCell ref="B47:I47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2026-09-15T22:19:09Z</dcterms:created>
  <dcterms:modified xmlns:dcterms="http://purl.org/dc/terms/" xmlns:xsi="http://www.w3.org/2001/XMLSchema-instance" xsi:type="dcterms:W3CDTF">2026-09-15T22:19:09Z</dcterms:modified>
</cp:coreProperties>
</file>