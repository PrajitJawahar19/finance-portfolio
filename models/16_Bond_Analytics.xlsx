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 #,##0"/>
    <numFmt numFmtId="165" formatCode="0.0%;(0.0%);&quot;-&quot;"/>
    <numFmt numFmtId="166" formatCode="#,##0.0"/>
    <numFmt numFmtId="167" formatCode="€ #,##0.00"/>
    <numFmt numFmtId="168" formatCode="€ #,##0.00;(€ #,##0.00)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" fontId="10" fillId="4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vertical="center"/>
    </xf>
    <xf numFmtId="4" fontId="13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7" fontId="14" fillId="5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2" fontId="14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168" fontId="13" fillId="6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 of cash flows by year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'Bond'!D12</f>
            </strRef>
          </tx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'Bond'!$B$13:$B$22</f>
            </numRef>
          </cat>
          <val>
            <numRef>
              <f>'Bond'!$D$13:$D$22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16: Bond Analytics — Price, Duration &amp; Convexity</t>
        </is>
      </c>
    </row>
    <row r="6" ht="45" customHeight="1">
      <c r="B6" s="3" t="inlineStr">
        <is>
          <t>Purpose</t>
        </is>
      </c>
      <c r="C6" s="4" t="inlineStr">
        <is>
          <t>Price a coupon bond from its cash flows and measure its interest-rate risk: Macaulay and modified duration, convexity, and the estimated price move for a 100 bp shift in yields.</t>
        </is>
      </c>
    </row>
    <row r="7" ht="45" customHeight="1">
      <c r="B7" s="3" t="inlineStr">
        <is>
          <t>Techniques shown</t>
        </is>
      </c>
      <c r="C7" s="4" t="inlineStr">
        <is>
          <t>Cash-flow discounting · clean price · Macaulay &amp; modified duration · convexity · duration/convexity price approximation.</t>
        </is>
      </c>
    </row>
    <row r="8" ht="30" customHeight="1">
      <c r="B8" s="3" t="inlineStr">
        <is>
          <t>How to use</t>
        </is>
      </c>
      <c r="C8" s="4" t="inlineStr">
        <is>
          <t>Change the blue face value, coupon, maturity or yield; the price, duration, convexity and rate sensitivity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</cols>
  <sheetData>
    <row r="2" ht="30" customHeight="1">
      <c r="B2" s="1" t="inlineStr">
        <is>
          <t>Bond Analytics</t>
        </is>
      </c>
    </row>
    <row r="3" ht="16" customHeight="1">
      <c r="B3" s="2" t="inlineStr">
        <is>
          <t>Annual coupon, annual compounding. Blue = input.</t>
        </is>
      </c>
    </row>
    <row r="5" ht="20" customHeight="1">
      <c r="B5" s="11" t="inlineStr">
        <is>
          <t>Bond terms</t>
        </is>
      </c>
    </row>
    <row r="6">
      <c r="B6" s="12" t="inlineStr">
        <is>
          <t>Face value (€)</t>
        </is>
      </c>
      <c r="C6" s="13" t="n">
        <v>1000</v>
      </c>
    </row>
    <row r="7">
      <c r="B7" s="12" t="inlineStr">
        <is>
          <t>Coupon rate</t>
        </is>
      </c>
      <c r="C7" s="14" t="n">
        <v>0.05</v>
      </c>
    </row>
    <row r="8">
      <c r="B8" s="12" t="inlineStr">
        <is>
          <t>Maturity (years)</t>
        </is>
      </c>
      <c r="C8" s="15" t="n">
        <v>10</v>
      </c>
    </row>
    <row r="9">
      <c r="B9" s="12" t="inlineStr">
        <is>
          <t>Yield to maturity</t>
        </is>
      </c>
      <c r="C9" s="14" t="n">
        <v>0.06</v>
      </c>
    </row>
    <row r="11" ht="20" customHeight="1">
      <c r="B11" s="11" t="inlineStr">
        <is>
          <t>Cash-flow schedule</t>
        </is>
      </c>
    </row>
    <row r="12" ht="26" customHeight="1">
      <c r="B12" s="16" t="inlineStr">
        <is>
          <t>Year (t)</t>
        </is>
      </c>
      <c r="C12" s="17" t="inlineStr">
        <is>
          <t>Cash flow</t>
        </is>
      </c>
      <c r="D12" s="17" t="inlineStr">
        <is>
          <t>PV of CF</t>
        </is>
      </c>
      <c r="E12" s="17" t="inlineStr">
        <is>
          <t>t × PV</t>
        </is>
      </c>
      <c r="F12" s="17" t="inlineStr">
        <is>
          <t>t(t+1) × PV</t>
        </is>
      </c>
    </row>
    <row r="13">
      <c r="B13" s="18" t="n">
        <v>1</v>
      </c>
      <c r="C13" s="19">
        <f>IF(B13&gt;$C$8,0,$C$6*$C$7+IF(B13=$C$8,$C$6,0))</f>
        <v/>
      </c>
      <c r="D13" s="20">
        <f>C13/POWER(1+$C$9,B13)</f>
        <v/>
      </c>
      <c r="E13" s="19">
        <f>B13*D13</f>
        <v/>
      </c>
      <c r="F13" s="19">
        <f>B13*(B13+1)*D13</f>
        <v/>
      </c>
    </row>
    <row r="14">
      <c r="B14" s="18" t="n">
        <v>2</v>
      </c>
      <c r="C14" s="19">
        <f>IF(B14&gt;$C$8,0,$C$6*$C$7+IF(B14=$C$8,$C$6,0))</f>
        <v/>
      </c>
      <c r="D14" s="20">
        <f>C14/POWER(1+$C$9,B14)</f>
        <v/>
      </c>
      <c r="E14" s="19">
        <f>B14*D14</f>
        <v/>
      </c>
      <c r="F14" s="19">
        <f>B14*(B14+1)*D14</f>
        <v/>
      </c>
    </row>
    <row r="15">
      <c r="B15" s="18" t="n">
        <v>3</v>
      </c>
      <c r="C15" s="19">
        <f>IF(B15&gt;$C$8,0,$C$6*$C$7+IF(B15=$C$8,$C$6,0))</f>
        <v/>
      </c>
      <c r="D15" s="20">
        <f>C15/POWER(1+$C$9,B15)</f>
        <v/>
      </c>
      <c r="E15" s="19">
        <f>B15*D15</f>
        <v/>
      </c>
      <c r="F15" s="19">
        <f>B15*(B15+1)*D15</f>
        <v/>
      </c>
    </row>
    <row r="16">
      <c r="B16" s="18" t="n">
        <v>4</v>
      </c>
      <c r="C16" s="19">
        <f>IF(B16&gt;$C$8,0,$C$6*$C$7+IF(B16=$C$8,$C$6,0))</f>
        <v/>
      </c>
      <c r="D16" s="20">
        <f>C16/POWER(1+$C$9,B16)</f>
        <v/>
      </c>
      <c r="E16" s="19">
        <f>B16*D16</f>
        <v/>
      </c>
      <c r="F16" s="19">
        <f>B16*(B16+1)*D16</f>
        <v/>
      </c>
    </row>
    <row r="17">
      <c r="B17" s="18" t="n">
        <v>5</v>
      </c>
      <c r="C17" s="19">
        <f>IF(B17&gt;$C$8,0,$C$6*$C$7+IF(B17=$C$8,$C$6,0))</f>
        <v/>
      </c>
      <c r="D17" s="20">
        <f>C17/POWER(1+$C$9,B17)</f>
        <v/>
      </c>
      <c r="E17" s="19">
        <f>B17*D17</f>
        <v/>
      </c>
      <c r="F17" s="19">
        <f>B17*(B17+1)*D17</f>
        <v/>
      </c>
    </row>
    <row r="18">
      <c r="B18" s="18" t="n">
        <v>6</v>
      </c>
      <c r="C18" s="19">
        <f>IF(B18&gt;$C$8,0,$C$6*$C$7+IF(B18=$C$8,$C$6,0))</f>
        <v/>
      </c>
      <c r="D18" s="20">
        <f>C18/POWER(1+$C$9,B18)</f>
        <v/>
      </c>
      <c r="E18" s="19">
        <f>B18*D18</f>
        <v/>
      </c>
      <c r="F18" s="19">
        <f>B18*(B18+1)*D18</f>
        <v/>
      </c>
    </row>
    <row r="19">
      <c r="B19" s="18" t="n">
        <v>7</v>
      </c>
      <c r="C19" s="19">
        <f>IF(B19&gt;$C$8,0,$C$6*$C$7+IF(B19=$C$8,$C$6,0))</f>
        <v/>
      </c>
      <c r="D19" s="20">
        <f>C19/POWER(1+$C$9,B19)</f>
        <v/>
      </c>
      <c r="E19" s="19">
        <f>B19*D19</f>
        <v/>
      </c>
      <c r="F19" s="19">
        <f>B19*(B19+1)*D19</f>
        <v/>
      </c>
    </row>
    <row r="20">
      <c r="B20" s="18" t="n">
        <v>8</v>
      </c>
      <c r="C20" s="19">
        <f>IF(B20&gt;$C$8,0,$C$6*$C$7+IF(B20=$C$8,$C$6,0))</f>
        <v/>
      </c>
      <c r="D20" s="20">
        <f>C20/POWER(1+$C$9,B20)</f>
        <v/>
      </c>
      <c r="E20" s="19">
        <f>B20*D20</f>
        <v/>
      </c>
      <c r="F20" s="19">
        <f>B20*(B20+1)*D20</f>
        <v/>
      </c>
    </row>
    <row r="21">
      <c r="B21" s="18" t="n">
        <v>9</v>
      </c>
      <c r="C21" s="19">
        <f>IF(B21&gt;$C$8,0,$C$6*$C$7+IF(B21=$C$8,$C$6,0))</f>
        <v/>
      </c>
      <c r="D21" s="20">
        <f>C21/POWER(1+$C$9,B21)</f>
        <v/>
      </c>
      <c r="E21" s="19">
        <f>B21*D21</f>
        <v/>
      </c>
      <c r="F21" s="19">
        <f>B21*(B21+1)*D21</f>
        <v/>
      </c>
    </row>
    <row r="22">
      <c r="B22" s="18" t="n">
        <v>10</v>
      </c>
      <c r="C22" s="19">
        <f>IF(B22&gt;$C$8,0,$C$6*$C$7+IF(B22=$C$8,$C$6,0))</f>
        <v/>
      </c>
      <c r="D22" s="20">
        <f>C22/POWER(1+$C$9,B22)</f>
        <v/>
      </c>
      <c r="E22" s="19">
        <f>B22*D22</f>
        <v/>
      </c>
      <c r="F22" s="19">
        <f>B22*(B22+1)*D22</f>
        <v/>
      </c>
    </row>
    <row r="23">
      <c r="B23" s="21" t="inlineStr">
        <is>
          <t>Total</t>
        </is>
      </c>
      <c r="C23" s="22" t="n"/>
      <c r="D23" s="23">
        <f>SUM(D13:D22)</f>
        <v/>
      </c>
      <c r="E23" s="23">
        <f>SUM(E13:E22)</f>
        <v/>
      </c>
      <c r="F23" s="23">
        <f>SUM(F13:F22)</f>
        <v/>
      </c>
    </row>
    <row r="25" ht="20" customHeight="1">
      <c r="B25" s="11" t="inlineStr">
        <is>
          <t>Risk metrics</t>
        </is>
      </c>
    </row>
    <row r="26">
      <c r="B26" s="24" t="inlineStr">
        <is>
          <t>Clean price (€)</t>
        </is>
      </c>
      <c r="C26" s="25">
        <f>D23</f>
        <v/>
      </c>
    </row>
    <row r="27">
      <c r="B27" s="12" t="inlineStr">
        <is>
          <t>Macaulay duration (years)</t>
        </is>
      </c>
      <c r="C27" s="26">
        <f>E23/D23</f>
        <v/>
      </c>
    </row>
    <row r="28">
      <c r="B28" s="24" t="inlineStr">
        <is>
          <t>Modified duration (years)</t>
        </is>
      </c>
      <c r="C28" s="27">
        <f>C27/(1+C9)</f>
        <v/>
      </c>
    </row>
    <row r="29">
      <c r="B29" s="12" t="inlineStr">
        <is>
          <t>Convexity</t>
        </is>
      </c>
      <c r="C29" s="26">
        <f>F23/(D23*POWER(1+C9,2))</f>
        <v/>
      </c>
    </row>
    <row r="30">
      <c r="B30" s="28" t="inlineStr">
        <is>
          <t>Price change for +100 bps (€)</t>
        </is>
      </c>
      <c r="C30" s="29">
        <f>-C28*C26*0.01+0.5*C29*C26*0.01^2</f>
        <v/>
      </c>
    </row>
    <row r="32" ht="20" customHeight="1">
      <c r="B32" s="11" t="inlineStr">
        <is>
          <t>Key insight (auto-generated)</t>
        </is>
      </c>
    </row>
    <row r="33" ht="42" customHeight="1">
      <c r="B33" s="30">
        <f>"At a "&amp;TEXT(C9,"0.0%")&amp;" yield the bond prices at €"&amp;TEXT(C26,"#,##0.00")&amp;"; a modified duration of "&amp;TEXT(C28,"0.0")&amp;" means a +100 bp move costs about €"&amp;TEXT(-C30,"#,##0.00")&amp;" per bond."</f>
        <v/>
      </c>
    </row>
  </sheetData>
  <mergeCells count="7">
    <mergeCell ref="B2:G2"/>
    <mergeCell ref="B3:G3"/>
    <mergeCell ref="B5:C5"/>
    <mergeCell ref="B11:G11"/>
    <mergeCell ref="B25:C25"/>
    <mergeCell ref="B32:G32"/>
    <mergeCell ref="B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