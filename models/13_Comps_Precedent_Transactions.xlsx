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0.0&quot;x&quot;"/>
    <numFmt numFmtId="166" formatCode="€ 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5" fontId="13" fillId="4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65" fontId="14" fillId="2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166" fontId="9" fillId="5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6" fontId="15" fillId="6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value per share (€)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'Comps'!$B$30:$B$33</f>
            </numRef>
          </cat>
          <val>
            <numRef>
              <f>'Comps'!$C$30:$C$33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13: Comparable Companies &amp; Precedent Transactions</t>
        </is>
      </c>
    </row>
    <row r="6" ht="60" customHeight="1">
      <c r="B6" s="3" t="inlineStr">
        <is>
          <t>Purpose</t>
        </is>
      </c>
      <c r="C6" s="4" t="inlineStr">
        <is>
          <t>Value Helios off the market: a trading-comparables universe (EV/Revenue, EV/EBITDA, P/E) and a precedent-transactions set (deal multiples), each applied to Helios and triangulated to a value range.</t>
        </is>
      </c>
    </row>
    <row r="7" ht="30" customHeight="1">
      <c r="B7" s="3" t="inlineStr">
        <is>
          <t>Techniques shown</t>
        </is>
      </c>
      <c r="C7" s="4" t="inlineStr">
        <is>
          <t>Trading comps universe · precedent M&amp;A transactions · median multiples · multiple-to-value bridge · triangulated range.</t>
        </is>
      </c>
    </row>
    <row r="8" ht="30" customHeight="1">
      <c r="B8" s="3" t="inlineStr">
        <is>
          <t>How to use</t>
        </is>
      </c>
      <c r="C8" s="4" t="inlineStr">
        <is>
          <t>Change the blue peer or deal multiples, or Helios metrics; the implied values and range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2" customWidth="1" min="6" max="6"/>
  </cols>
  <sheetData>
    <row r="2" ht="30" customHeight="1">
      <c r="B2" s="1" t="inlineStr">
        <is>
          <t>Comparable Companies &amp; Precedent Transactions</t>
        </is>
      </c>
    </row>
    <row r="3" ht="16" customHeight="1">
      <c r="B3" s="2" t="inlineStr">
        <is>
          <t>€M unless per-share. Blue = input.</t>
        </is>
      </c>
    </row>
    <row r="5" ht="20" customHeight="1">
      <c r="B5" s="11" t="inlineStr">
        <is>
          <t>Helios metrics (€M)</t>
        </is>
      </c>
    </row>
    <row r="6">
      <c r="B6" s="12" t="inlineStr">
        <is>
          <t>Revenue</t>
        </is>
      </c>
      <c r="C6" s="13" t="n">
        <v>49.5</v>
      </c>
    </row>
    <row r="7">
      <c r="B7" s="12" t="inlineStr">
        <is>
          <t>EBITDA</t>
        </is>
      </c>
      <c r="C7" s="13" t="n">
        <v>6.2</v>
      </c>
    </row>
    <row r="8">
      <c r="B8" s="12" t="inlineStr">
        <is>
          <t>Net income</t>
        </is>
      </c>
      <c r="C8" s="13" t="n">
        <v>3.7</v>
      </c>
    </row>
    <row r="9">
      <c r="B9" s="12" t="inlineStr">
        <is>
          <t>Net debt</t>
        </is>
      </c>
      <c r="C9" s="13" t="n">
        <v>1.6</v>
      </c>
    </row>
    <row r="10">
      <c r="B10" s="12" t="inlineStr">
        <is>
          <t>Shares outstanding (M)</t>
        </is>
      </c>
      <c r="C10" s="13" t="n">
        <v>3</v>
      </c>
    </row>
    <row r="12" ht="20" customHeight="1">
      <c r="B12" s="11" t="inlineStr">
        <is>
          <t>Trading comparables</t>
        </is>
      </c>
    </row>
    <row r="13" ht="26" customHeight="1">
      <c r="B13" s="14" t="inlineStr">
        <is>
          <t>Company</t>
        </is>
      </c>
      <c r="C13" s="15" t="inlineStr">
        <is>
          <t>EV/Revenue</t>
        </is>
      </c>
      <c r="D13" s="15" t="inlineStr">
        <is>
          <t>EV/EBITDA</t>
        </is>
      </c>
      <c r="E13" s="15" t="inlineStr">
        <is>
          <t>P/E</t>
        </is>
      </c>
    </row>
    <row r="14">
      <c r="B14" s="16" t="inlineStr">
        <is>
          <t>Nordwind Appliances</t>
        </is>
      </c>
      <c r="C14" s="17" t="n">
        <v>1.1</v>
      </c>
      <c r="D14" s="17" t="n">
        <v>9.199999999999999</v>
      </c>
      <c r="E14" s="17" t="n">
        <v>15.5</v>
      </c>
    </row>
    <row r="15">
      <c r="B15" s="16" t="inlineStr">
        <is>
          <t>Rheingold Electronics</t>
        </is>
      </c>
      <c r="C15" s="17" t="n">
        <v>1.4</v>
      </c>
      <c r="D15" s="17" t="n">
        <v>10.4</v>
      </c>
      <c r="E15" s="17" t="n">
        <v>18</v>
      </c>
    </row>
    <row r="16">
      <c r="B16" s="16" t="inlineStr">
        <is>
          <t>Alpina Home</t>
        </is>
      </c>
      <c r="C16" s="17" t="n">
        <v>0.9</v>
      </c>
      <c r="D16" s="17" t="n">
        <v>8.6</v>
      </c>
      <c r="E16" s="17" t="n">
        <v>14.2</v>
      </c>
    </row>
    <row r="17">
      <c r="B17" s="16" t="inlineStr">
        <is>
          <t>Vega Consumer</t>
        </is>
      </c>
      <c r="C17" s="17" t="n">
        <v>1.6</v>
      </c>
      <c r="D17" s="17" t="n">
        <v>11.1</v>
      </c>
      <c r="E17" s="17" t="n">
        <v>19.5</v>
      </c>
    </row>
    <row r="18">
      <c r="B18" s="16" t="inlineStr">
        <is>
          <t>Meridian Devices</t>
        </is>
      </c>
      <c r="C18" s="17" t="n">
        <v>1.2</v>
      </c>
      <c r="D18" s="17" t="n">
        <v>9.800000000000001</v>
      </c>
      <c r="E18" s="17" t="n">
        <v>16.8</v>
      </c>
    </row>
    <row r="19">
      <c r="B19" s="18" t="inlineStr">
        <is>
          <t>Median</t>
        </is>
      </c>
      <c r="C19" s="19">
        <f>MEDIAN(C14:C18)</f>
        <v/>
      </c>
      <c r="D19" s="19">
        <f>MEDIAN(D14:D18)</f>
        <v/>
      </c>
      <c r="E19" s="19">
        <f>MEDIAN(E14:E18)</f>
        <v/>
      </c>
    </row>
    <row r="21" ht="20" customHeight="1">
      <c r="B21" s="11" t="inlineStr">
        <is>
          <t>Precedent transactions</t>
        </is>
      </c>
    </row>
    <row r="22" ht="26" customHeight="1">
      <c r="B22" s="14" t="inlineStr">
        <is>
          <t>Target (deal)</t>
        </is>
      </c>
      <c r="C22" s="15" t="inlineStr">
        <is>
          <t>EV/Revenue</t>
        </is>
      </c>
      <c r="D22" s="15" t="inlineStr">
        <is>
          <t>EV/EBITDA</t>
        </is>
      </c>
      <c r="E22" s="15" t="inlineStr"/>
    </row>
    <row r="23">
      <c r="B23" s="16" t="inlineStr">
        <is>
          <t>Kessler Home / 2023</t>
        </is>
      </c>
      <c r="C23" s="17" t="n">
        <v>1.3</v>
      </c>
      <c r="D23" s="17" t="n">
        <v>10.8</v>
      </c>
      <c r="E23" s="20" t="n"/>
    </row>
    <row r="24">
      <c r="B24" s="16" t="inlineStr">
        <is>
          <t>BluePeak / 2022</t>
        </is>
      </c>
      <c r="C24" s="17" t="n">
        <v>1.5</v>
      </c>
      <c r="D24" s="17" t="n">
        <v>11.5</v>
      </c>
      <c r="E24" s="20" t="n"/>
    </row>
    <row r="25">
      <c r="B25" s="16" t="inlineStr">
        <is>
          <t>Orion Devices / 2024</t>
        </is>
      </c>
      <c r="C25" s="17" t="n">
        <v>1.2</v>
      </c>
      <c r="D25" s="17" t="n">
        <v>10.1</v>
      </c>
      <c r="E25" s="20" t="n"/>
    </row>
    <row r="26">
      <c r="B26" s="16" t="inlineStr">
        <is>
          <t>Halden Group / 2023</t>
        </is>
      </c>
      <c r="C26" s="17" t="n">
        <v>1.4</v>
      </c>
      <c r="D26" s="17" t="n">
        <v>11</v>
      </c>
      <c r="E26" s="20" t="n"/>
    </row>
    <row r="27">
      <c r="B27" s="18" t="inlineStr">
        <is>
          <t>Median (deal)</t>
        </is>
      </c>
      <c r="C27" s="19">
        <f>MEDIAN(C23:C26)</f>
        <v/>
      </c>
      <c r="D27" s="19">
        <f>MEDIAN(D23:D26)</f>
        <v/>
      </c>
      <c r="E27" s="21" t="n"/>
    </row>
    <row r="29" ht="20" customHeight="1">
      <c r="B29" s="11" t="inlineStr">
        <is>
          <t>Implied value per share (€)</t>
        </is>
      </c>
    </row>
    <row r="30">
      <c r="B30" s="16" t="inlineStr">
        <is>
          <t>Trading — EV/EBITDA</t>
        </is>
      </c>
      <c r="C30" s="22">
        <f>(D19*C7-C9)/C10</f>
        <v/>
      </c>
    </row>
    <row r="31">
      <c r="B31" s="16" t="inlineStr">
        <is>
          <t>Trading — EV/Revenue</t>
        </is>
      </c>
      <c r="C31" s="22">
        <f>(C19*C6-C9)/C10</f>
        <v/>
      </c>
    </row>
    <row r="32">
      <c r="B32" s="16" t="inlineStr">
        <is>
          <t>Precedent — EV/EBITDA</t>
        </is>
      </c>
      <c r="C32" s="22">
        <f>(D27*C7-C9)/C10</f>
        <v/>
      </c>
    </row>
    <row r="33">
      <c r="B33" s="16" t="inlineStr">
        <is>
          <t>Trading — P/E</t>
        </is>
      </c>
      <c r="C33" s="22">
        <f>E19*C8/C10</f>
        <v/>
      </c>
    </row>
    <row r="35">
      <c r="B35" s="23" t="inlineStr">
        <is>
          <t>Low / Median / High</t>
        </is>
      </c>
      <c r="C35" s="24">
        <f>MIN(C30:C33)</f>
        <v/>
      </c>
      <c r="D35" s="24">
        <f>MEDIAN(C30:C33)</f>
        <v/>
      </c>
      <c r="E35" s="24">
        <f>MAX(C30:C33)</f>
        <v/>
      </c>
    </row>
    <row r="37" ht="20" customHeight="1">
      <c r="B37" s="11" t="inlineStr">
        <is>
          <t>Key insight (auto-generated)</t>
        </is>
      </c>
    </row>
    <row r="38" ht="42" customHeight="1">
      <c r="B38" s="25">
        <f>"Market-based value clusters around €"&amp;TEXT(D35,"0.00")&amp;"/share (range €"&amp;TEXT(C35,"0.00")&amp;" to €"&amp;TEXT(E35,"0.00")&amp;"), with precedent deals at the higher end on control premia."</f>
        <v/>
      </c>
    </row>
  </sheetData>
  <mergeCells count="8">
    <mergeCell ref="B2:E2"/>
    <mergeCell ref="B3:E3"/>
    <mergeCell ref="B5:E5"/>
    <mergeCell ref="B12:E12"/>
    <mergeCell ref="B21:E21"/>
    <mergeCell ref="B29:E29"/>
    <mergeCell ref="B37:E37"/>
    <mergeCell ref="B38:E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