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3-Statement 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;(0.0%);&quot;-&quot;"/>
    <numFmt numFmtId="166" formatCode="0.0&quot; d&quot;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A5F"/>
      <sz val="10"/>
    </font>
    <font>
      <name val="Arial"/>
      <color rgb="00222222"/>
      <sz val="10"/>
    </font>
    <font>
      <name val="Arial"/>
      <b val="1"/>
      <color rgb="000000FF"/>
      <sz val="9"/>
    </font>
    <font>
      <name val="Arial"/>
      <color rgb="00444444"/>
      <sz val="9"/>
    </font>
    <font>
      <name val="Arial"/>
      <b val="1"/>
      <color rgb="00000000"/>
      <sz val="9"/>
    </font>
    <font>
      <name val="Arial"/>
      <b val="1"/>
      <color rgb="00008000"/>
      <sz val="9"/>
    </font>
    <font>
      <name val="Arial"/>
      <b val="1"/>
      <color rgb="001F3A5F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B7280"/>
      <sz val="8.5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i val="1"/>
      <color rgb="00222222"/>
      <sz val="9.5"/>
    </font>
    <font>
      <name val="Arial"/>
      <b val="1"/>
      <color rgb="00222222"/>
      <sz val="9.5"/>
    </font>
    <font>
      <name val="Arial"/>
      <color rgb="006B7280"/>
      <sz val="10"/>
    </font>
    <font>
      <name val="Arial"/>
      <color rgb="00333333"/>
      <sz val="9.5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A88"/>
      </patternFill>
    </fill>
    <fill>
      <patternFill patternType="solid">
        <fgColor rgb="00FFF2CC"/>
      </patternFill>
    </fill>
    <fill>
      <patternFill patternType="solid">
        <fgColor rgb="00EAF0F6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4" fontId="11" fillId="4" borderId="1" applyAlignment="1" pivotButton="0" quotePrefix="0" xfId="0">
      <alignment horizontal="right" vertical="center"/>
    </xf>
    <xf numFmtId="165" fontId="11" fillId="4" borderId="1" applyAlignment="1" pivotButton="0" quotePrefix="0" xfId="0">
      <alignment horizontal="right" vertical="center"/>
    </xf>
    <xf numFmtId="166" fontId="11" fillId="4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0" fontId="13" fillId="3" borderId="1" applyAlignment="1" pivotButton="0" quotePrefix="0" xfId="0">
      <alignment horizontal="left" vertical="center"/>
    </xf>
    <xf numFmtId="0" fontId="14" fillId="3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/>
    </xf>
    <xf numFmtId="0" fontId="10" fillId="2" borderId="1" applyAlignment="1" pivotButton="0" quotePrefix="0" xfId="0">
      <alignment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164" fontId="16" fillId="0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0" fontId="17" fillId="5" borderId="1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name val="Arial"/>
        <b val="1"/>
        <color rgb="000F7A55"/>
      </font>
      <fill>
        <patternFill patternType="solid">
          <fgColor rgb="00D5F2E3"/>
        </patternFill>
      </fill>
    </dxf>
    <dxf>
      <font>
        <name val="Arial"/>
        <b val="1"/>
        <color rgb="00C0392B"/>
      </font>
      <fill>
        <patternFill patternType="solid">
          <fgColor rgb="00FBE3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Revenue, EBITDA &amp; Net Income (€000)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'3-Statement Model'!B7</f>
            </strRef>
          </tx>
          <spPr>
            <a:solidFill xmlns:a="http://schemas.openxmlformats.org/drawingml/2006/main">
              <a:srgbClr val="1F3A5F"/>
            </a:solidFill>
            <a:ln xmlns:a="http://schemas.openxmlformats.org/drawingml/2006/main">
              <a:prstDash val="solid"/>
            </a:ln>
          </spPr>
          <cat>
            <numRef>
              <f>'3-Statement Model'!$C$5:$F$5</f>
            </numRef>
          </cat>
          <val>
            <numRef>
              <f>'3-Statement Model'!$C$7:$F$7</f>
            </numRef>
          </val>
        </ser>
        <ser>
          <idx val="1"/>
          <order val="1"/>
          <tx>
            <strRef>
              <f>'3-Statement Model'!B11</f>
            </strRef>
          </tx>
          <spPr>
            <a:solidFill xmlns:a="http://schemas.openxmlformats.org/drawingml/2006/main">
              <a:srgbClr val="17B890"/>
            </a:solidFill>
            <a:ln xmlns:a="http://schemas.openxmlformats.org/drawingml/2006/main">
              <a:prstDash val="solid"/>
            </a:ln>
          </spPr>
          <cat>
            <numRef>
              <f>'3-Statement Model'!$C$5:$F$5</f>
            </numRef>
          </cat>
          <val>
            <numRef>
              <f>'3-Statement Model'!$C$11:$F$11</f>
            </numRef>
          </val>
        </ser>
        <ser>
          <idx val="2"/>
          <order val="2"/>
          <tx>
            <strRef>
              <f>'3-Statement Model'!B17</f>
            </strRef>
          </tx>
          <spPr>
            <a:solidFill xmlns:a="http://schemas.openxmlformats.org/drawingml/2006/main">
              <a:srgbClr val="9AA7B4"/>
            </a:solidFill>
            <a:ln xmlns:a="http://schemas.openxmlformats.org/drawingml/2006/main">
              <a:prstDash val="solid"/>
            </a:ln>
          </spPr>
          <cat>
            <numRef>
              <f>'3-Statement Model'!$C$5:$F$5</f>
            </numRef>
          </cat>
          <val>
            <numRef>
              <f>'3-Statement Model'!$C$17:$F$17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5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60" customWidth="1" min="3" max="3"/>
    <col width="2" customWidth="1" min="4" max="4"/>
  </cols>
  <sheetData>
    <row r="2" ht="30" customHeight="1">
      <c r="B2" s="1" t="inlineStr">
        <is>
          <t>HELIOS CONSUMER GmbH  ·  FP&amp;A Sample Model</t>
        </is>
      </c>
    </row>
    <row r="3" ht="16" customHeight="1">
      <c r="B3" s="2" t="inlineStr">
        <is>
          <t>Illustrative portfolio project. Prepared by Prajit Jawahar</t>
        </is>
      </c>
    </row>
    <row r="5" ht="30" customHeight="1">
      <c r="B5" s="3" t="inlineStr">
        <is>
          <t>Model</t>
        </is>
      </c>
      <c r="C5" s="4" t="inlineStr">
        <is>
          <t>06: Integrated 3-Statement Model (FY2024 to FY2027)</t>
        </is>
      </c>
    </row>
    <row r="6" ht="60" customHeight="1">
      <c r="B6" s="3" t="inlineStr">
        <is>
          <t>Purpose</t>
        </is>
      </c>
      <c r="C6" s="4" t="inlineStr">
        <is>
          <t>The core FP&amp;A build: a linked Income Statement, Balance Sheet and Cash Flow that flow from one set of drivers, roll the balance sheet forward year on year, and tie out with a balance check that must equal zero.</t>
        </is>
      </c>
    </row>
    <row r="7" ht="45" customHeight="1">
      <c r="B7" s="3" t="inlineStr">
        <is>
          <t>Techniques shown</t>
        </is>
      </c>
      <c r="C7" s="4" t="inlineStr">
        <is>
          <t>Driver-based P&amp;L · working capital from DSO / DIO / DPO days · balance-sheet roll-forward · indirect cash flow · self-balancing with a live balance check · no circular references.</t>
        </is>
      </c>
    </row>
    <row r="8" ht="45" customHeight="1">
      <c r="B8" s="3" t="inlineStr">
        <is>
          <t>How to use</t>
        </is>
      </c>
      <c r="C8" s="4" t="inlineStr">
        <is>
          <t>Change any blue driver on the 'Assumptions' tab (growth, margins, working-capital days, payout). All three statements recompute and the Balance check row stays at zero.</t>
        </is>
      </c>
    </row>
    <row r="9" ht="30" customHeight="1">
      <c r="B9" s="3" t="inlineStr">
        <is>
          <t>Currency / units</t>
        </is>
      </c>
      <c r="C9" s="4" t="inlineStr">
        <is>
          <t>All figures in EUR thousands (€000) unless stated.</t>
        </is>
      </c>
    </row>
    <row r="10" ht="30" customHeight="1">
      <c r="B10" s="3" t="inlineStr">
        <is>
          <t>Data</t>
        </is>
      </c>
      <c r="C10" s="4" t="inlineStr">
        <is>
          <t>Sample / illustrative figures for a fictional company. Not real financials.</t>
        </is>
      </c>
    </row>
    <row r="12">
      <c r="B12" s="5" t="inlineStr">
        <is>
          <t>Colour key</t>
        </is>
      </c>
    </row>
    <row r="13">
      <c r="B13" s="6" t="inlineStr">
        <is>
          <t xml:space="preserve">  Blue text</t>
        </is>
      </c>
      <c r="C13" s="7" t="inlineStr">
        <is>
          <t>Hard-coded input / assumption you can change</t>
        </is>
      </c>
    </row>
    <row r="14">
      <c r="B14" s="8" t="inlineStr">
        <is>
          <t xml:space="preserve">  Black text</t>
        </is>
      </c>
      <c r="C14" s="7" t="inlineStr">
        <is>
          <t>Formula, recalculates automatically</t>
        </is>
      </c>
    </row>
    <row r="15">
      <c r="B15" s="9" t="inlineStr">
        <is>
          <t xml:space="preserve">  Green text</t>
        </is>
      </c>
      <c r="C15" s="7" t="inlineStr">
        <is>
          <t>Links to another sheet</t>
        </is>
      </c>
    </row>
    <row r="16">
      <c r="B16" s="10" t="inlineStr">
        <is>
          <t xml:space="preserve">  Yellow fill</t>
        </is>
      </c>
      <c r="C16" s="7" t="inlineStr">
        <is>
          <t>Cells intended for you to fill in</t>
        </is>
      </c>
    </row>
  </sheetData>
  <mergeCells count="2">
    <mergeCell ref="B2:C2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3" customWidth="1" min="3" max="3"/>
    <col width="2" customWidth="1" min="4" max="4"/>
  </cols>
  <sheetData>
    <row r="2" ht="30" customHeight="1">
      <c r="B2" s="1" t="inlineStr">
        <is>
          <t>Model Assumptions</t>
        </is>
      </c>
    </row>
    <row r="3" ht="16" customHeight="1">
      <c r="B3" s="2" t="inlineStr">
        <is>
          <t>Blue = input driver. Figures €000 unless shown as %. Days on a 365-day basis.</t>
        </is>
      </c>
    </row>
    <row r="5" ht="20" customHeight="1">
      <c r="B5" s="11" t="inlineStr">
        <is>
          <t>Operating drivers</t>
        </is>
      </c>
    </row>
    <row r="6">
      <c r="B6" s="12" t="inlineStr">
        <is>
          <t>Base revenue, FY2024 (€000)</t>
        </is>
      </c>
      <c r="C6" s="13" t="n">
        <v>45000</v>
      </c>
    </row>
    <row r="7">
      <c r="B7" s="12" t="inlineStr">
        <is>
          <t>Revenue growth, FY2025</t>
        </is>
      </c>
      <c r="C7" s="14" t="n">
        <v>0.1</v>
      </c>
    </row>
    <row r="8">
      <c r="B8" s="12" t="inlineStr">
        <is>
          <t>Revenue growth, FY2026</t>
        </is>
      </c>
      <c r="C8" s="14" t="n">
        <v>0.07000000000000001</v>
      </c>
    </row>
    <row r="9">
      <c r="B9" s="12" t="inlineStr">
        <is>
          <t>Revenue growth, FY2027</t>
        </is>
      </c>
      <c r="C9" s="14" t="n">
        <v>0.06</v>
      </c>
    </row>
    <row r="10">
      <c r="B10" s="12" t="inlineStr">
        <is>
          <t>Gross margin</t>
        </is>
      </c>
      <c r="C10" s="14" t="n">
        <v>0.39</v>
      </c>
    </row>
    <row r="11">
      <c r="B11" s="12" t="inlineStr">
        <is>
          <t>Operating expenses (% of revenue)</t>
        </is>
      </c>
      <c r="C11" s="14" t="n">
        <v>0.265</v>
      </c>
    </row>
    <row r="12">
      <c r="B12" s="12" t="inlineStr">
        <is>
          <t>Depreciation (% of opening PP&amp;E)</t>
        </is>
      </c>
      <c r="C12" s="14" t="n">
        <v>0.1</v>
      </c>
    </row>
    <row r="13">
      <c r="B13" s="12" t="inlineStr">
        <is>
          <t>Capital expenditure (% of revenue)</t>
        </is>
      </c>
      <c r="C13" s="14" t="n">
        <v>0.03</v>
      </c>
    </row>
    <row r="14">
      <c r="B14" s="12" t="inlineStr">
        <is>
          <t>Tax rate</t>
        </is>
      </c>
      <c r="C14" s="14" t="n">
        <v>0.3</v>
      </c>
    </row>
    <row r="15">
      <c r="B15" s="12" t="inlineStr">
        <is>
          <t>Interest rate on debt</t>
        </is>
      </c>
      <c r="C15" s="14" t="n">
        <v>0.05</v>
      </c>
    </row>
    <row r="16">
      <c r="B16" s="12" t="inlineStr">
        <is>
          <t>Dividend payout (% of net income)</t>
        </is>
      </c>
      <c r="C16" s="14" t="n">
        <v>0.3</v>
      </c>
    </row>
    <row r="17">
      <c r="B17" s="12" t="inlineStr">
        <is>
          <t>Days sales outstanding (DSO)</t>
        </is>
      </c>
      <c r="C17" s="15" t="n">
        <v>45</v>
      </c>
    </row>
    <row r="18">
      <c r="B18" s="12" t="inlineStr">
        <is>
          <t>Days inventory outstanding (DIO)</t>
        </is>
      </c>
      <c r="C18" s="15" t="n">
        <v>54</v>
      </c>
    </row>
    <row r="19">
      <c r="B19" s="12" t="inlineStr">
        <is>
          <t>Days payables outstanding (DPO)</t>
        </is>
      </c>
      <c r="C19" s="15" t="n">
        <v>52</v>
      </c>
    </row>
    <row r="21" ht="20" customHeight="1">
      <c r="B21" s="11" t="inlineStr">
        <is>
          <t>Opening balance sheet (FY2024 year-end)</t>
        </is>
      </c>
    </row>
    <row r="22">
      <c r="B22" s="12" t="inlineStr">
        <is>
          <t>Cash</t>
        </is>
      </c>
      <c r="C22" s="13" t="n">
        <v>3000</v>
      </c>
    </row>
    <row r="23">
      <c r="B23" s="12" t="inlineStr">
        <is>
          <t>Property, plant &amp; equipment (net)</t>
        </is>
      </c>
      <c r="C23" s="13" t="n">
        <v>12000</v>
      </c>
    </row>
    <row r="24">
      <c r="B24" s="12" t="inlineStr">
        <is>
          <t>Debt</t>
        </is>
      </c>
      <c r="C24" s="13" t="n">
        <v>6000</v>
      </c>
    </row>
    <row r="25">
      <c r="B25" s="12" t="inlineStr">
        <is>
          <t>Share capital</t>
        </is>
      </c>
      <c r="C25" s="13" t="n">
        <v>5000</v>
      </c>
    </row>
    <row r="27">
      <c r="B27" s="16" t="inlineStr">
        <is>
          <t>FY2024 retained earnings is derived so the opening balance sheet balances exactly.</t>
        </is>
      </c>
    </row>
    <row r="28">
      <c r="B28" s="16" t="inlineStr">
        <is>
          <t>Interest is charged on opening debt (not on cash), which keeps the model free of circular references.</t>
        </is>
      </c>
    </row>
  </sheetData>
  <mergeCells count="4">
    <mergeCell ref="B2:C2"/>
    <mergeCell ref="B3:C3"/>
    <mergeCell ref="B5:C5"/>
    <mergeCell ref="B21:C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5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2" customWidth="1" min="7" max="7"/>
  </cols>
  <sheetData>
    <row r="2" ht="30" customHeight="1">
      <c r="B2" s="1" t="inlineStr">
        <is>
          <t>Helios Consumer GmbH: Integrated Financial Model</t>
        </is>
      </c>
    </row>
    <row r="3" ht="16" customHeight="1">
      <c r="B3" s="2" t="inlineStr">
        <is>
          <t>EUR thousands (€000). Green = linked from Assumptions. FY2024 is the base year; FY2025 to FY2027 are forecast.</t>
        </is>
      </c>
    </row>
    <row r="5">
      <c r="B5" s="17" t="inlineStr">
        <is>
          <t>€000</t>
        </is>
      </c>
      <c r="C5" s="18" t="inlineStr">
        <is>
          <t>FY2024</t>
        </is>
      </c>
      <c r="D5" s="18" t="inlineStr">
        <is>
          <t>FY2025</t>
        </is>
      </c>
      <c r="E5" s="18" t="inlineStr">
        <is>
          <t>FY2026</t>
        </is>
      </c>
      <c r="F5" s="18" t="inlineStr">
        <is>
          <t>FY2027</t>
        </is>
      </c>
    </row>
    <row r="6">
      <c r="B6" s="19" t="inlineStr">
        <is>
          <t>INCOME STATEMENT</t>
        </is>
      </c>
      <c r="C6" s="20" t="n"/>
      <c r="D6" s="20" t="n"/>
      <c r="E6" s="20" t="n"/>
      <c r="F6" s="20" t="n"/>
    </row>
    <row r="7">
      <c r="B7" s="21" t="inlineStr">
        <is>
          <t>Revenue</t>
        </is>
      </c>
      <c r="C7" s="22">
        <f>Assumptions!$C$6</f>
        <v/>
      </c>
      <c r="D7" s="22">
        <f>C7*(1+Assumptions!$C$7)</f>
        <v/>
      </c>
      <c r="E7" s="22">
        <f>D7*(1+Assumptions!$C$8)</f>
        <v/>
      </c>
      <c r="F7" s="22">
        <f>E7*(1+Assumptions!$C$9)</f>
        <v/>
      </c>
    </row>
    <row r="8">
      <c r="B8" s="21" t="inlineStr">
        <is>
          <t>Cost of goods sold</t>
        </is>
      </c>
      <c r="C8" s="22">
        <f>-C7*(1-Assumptions!$C$10)</f>
        <v/>
      </c>
      <c r="D8" s="22">
        <f>-D7*(1-Assumptions!$C$10)</f>
        <v/>
      </c>
      <c r="E8" s="22">
        <f>-E7*(1-Assumptions!$C$10)</f>
        <v/>
      </c>
      <c r="F8" s="22">
        <f>-F7*(1-Assumptions!$C$10)</f>
        <v/>
      </c>
    </row>
    <row r="9">
      <c r="B9" s="23" t="inlineStr">
        <is>
          <t>Gross profit</t>
        </is>
      </c>
      <c r="C9" s="24">
        <f>C7+C8</f>
        <v/>
      </c>
      <c r="D9" s="24">
        <f>D7+D8</f>
        <v/>
      </c>
      <c r="E9" s="24">
        <f>E7+E8</f>
        <v/>
      </c>
      <c r="F9" s="24">
        <f>F7+F8</f>
        <v/>
      </c>
    </row>
    <row r="10">
      <c r="B10" s="21" t="inlineStr">
        <is>
          <t>Operating expenses</t>
        </is>
      </c>
      <c r="C10" s="22">
        <f>-C7*Assumptions!$C$11</f>
        <v/>
      </c>
      <c r="D10" s="22">
        <f>-D7*Assumptions!$C$11</f>
        <v/>
      </c>
      <c r="E10" s="22">
        <f>-E7*Assumptions!$C$11</f>
        <v/>
      </c>
      <c r="F10" s="22">
        <f>-F7*Assumptions!$C$11</f>
        <v/>
      </c>
    </row>
    <row r="11">
      <c r="B11" s="23" t="inlineStr">
        <is>
          <t>EBITDA</t>
        </is>
      </c>
      <c r="C11" s="24">
        <f>C9+C10</f>
        <v/>
      </c>
      <c r="D11" s="24">
        <f>D9+D10</f>
        <v/>
      </c>
      <c r="E11" s="24">
        <f>E9+E10</f>
        <v/>
      </c>
      <c r="F11" s="24">
        <f>F9+F10</f>
        <v/>
      </c>
    </row>
    <row r="12">
      <c r="B12" s="21" t="inlineStr">
        <is>
          <t>Depreciation &amp; amortisation</t>
        </is>
      </c>
      <c r="C12" s="22">
        <f>-Assumptions!$C$12*Assumptions!$C$23</f>
        <v/>
      </c>
      <c r="D12" s="22">
        <f>-Assumptions!$C$12*C22</f>
        <v/>
      </c>
      <c r="E12" s="22">
        <f>-Assumptions!$C$12*D22</f>
        <v/>
      </c>
      <c r="F12" s="22">
        <f>-Assumptions!$C$12*E22</f>
        <v/>
      </c>
    </row>
    <row r="13">
      <c r="B13" s="23" t="inlineStr">
        <is>
          <t>EBIT</t>
        </is>
      </c>
      <c r="C13" s="24">
        <f>C11+C12</f>
        <v/>
      </c>
      <c r="D13" s="24">
        <f>D11+D12</f>
        <v/>
      </c>
      <c r="E13" s="24">
        <f>E11+E12</f>
        <v/>
      </c>
      <c r="F13" s="24">
        <f>F11+F12</f>
        <v/>
      </c>
    </row>
    <row r="14">
      <c r="B14" s="21" t="inlineStr">
        <is>
          <t>Interest expense</t>
        </is>
      </c>
      <c r="C14" s="22">
        <f>-Assumptions!$C$15*Assumptions!$C$24</f>
        <v/>
      </c>
      <c r="D14" s="22">
        <f>-Assumptions!$C$15*C25</f>
        <v/>
      </c>
      <c r="E14" s="22">
        <f>-Assumptions!$C$15*D25</f>
        <v/>
      </c>
      <c r="F14" s="22">
        <f>-Assumptions!$C$15*E25</f>
        <v/>
      </c>
    </row>
    <row r="15">
      <c r="B15" s="23" t="inlineStr">
        <is>
          <t>Profit before tax</t>
        </is>
      </c>
      <c r="C15" s="24">
        <f>C13+C14</f>
        <v/>
      </c>
      <c r="D15" s="24">
        <f>D13+D14</f>
        <v/>
      </c>
      <c r="E15" s="24">
        <f>E13+E14</f>
        <v/>
      </c>
      <c r="F15" s="24">
        <f>F13+F14</f>
        <v/>
      </c>
    </row>
    <row r="16">
      <c r="B16" s="21" t="inlineStr">
        <is>
          <t>Tax</t>
        </is>
      </c>
      <c r="C16" s="22">
        <f>-C15*Assumptions!$C$14</f>
        <v/>
      </c>
      <c r="D16" s="22">
        <f>-D15*Assumptions!$C$14</f>
        <v/>
      </c>
      <c r="E16" s="22">
        <f>-E15*Assumptions!$C$14</f>
        <v/>
      </c>
      <c r="F16" s="22">
        <f>-F15*Assumptions!$C$14</f>
        <v/>
      </c>
    </row>
    <row r="17">
      <c r="B17" s="23" t="inlineStr">
        <is>
          <t>Net income</t>
        </is>
      </c>
      <c r="C17" s="24">
        <f>C15+C16</f>
        <v/>
      </c>
      <c r="D17" s="24">
        <f>D15+D16</f>
        <v/>
      </c>
      <c r="E17" s="24">
        <f>E15+E16</f>
        <v/>
      </c>
      <c r="F17" s="24">
        <f>F15+F16</f>
        <v/>
      </c>
    </row>
    <row r="18">
      <c r="B18" s="19" t="inlineStr">
        <is>
          <t>BALANCE SHEET</t>
        </is>
      </c>
      <c r="C18" s="20" t="n"/>
      <c r="D18" s="20" t="n"/>
      <c r="E18" s="20" t="n"/>
      <c r="F18" s="20" t="n"/>
    </row>
    <row r="19">
      <c r="B19" s="21" t="inlineStr">
        <is>
          <t>Cash</t>
        </is>
      </c>
      <c r="C19" s="22">
        <f>Assumptions!$C$22</f>
        <v/>
      </c>
      <c r="D19" s="22">
        <f>D46</f>
        <v/>
      </c>
      <c r="E19" s="22">
        <f>E46</f>
        <v/>
      </c>
      <c r="F19" s="22">
        <f>F46</f>
        <v/>
      </c>
    </row>
    <row r="20">
      <c r="B20" s="21" t="inlineStr">
        <is>
          <t>Accounts receivable</t>
        </is>
      </c>
      <c r="C20" s="22">
        <f>C7*Assumptions!$C$17/365</f>
        <v/>
      </c>
      <c r="D20" s="22">
        <f>D7*Assumptions!$C$17/365</f>
        <v/>
      </c>
      <c r="E20" s="22">
        <f>E7*Assumptions!$C$17/365</f>
        <v/>
      </c>
      <c r="F20" s="22">
        <f>F7*Assumptions!$C$17/365</f>
        <v/>
      </c>
    </row>
    <row r="21">
      <c r="B21" s="21" t="inlineStr">
        <is>
          <t>Inventory</t>
        </is>
      </c>
      <c r="C21" s="22">
        <f>-C8*Assumptions!$C$18/365</f>
        <v/>
      </c>
      <c r="D21" s="22">
        <f>-D8*Assumptions!$C$18/365</f>
        <v/>
      </c>
      <c r="E21" s="22">
        <f>-E8*Assumptions!$C$18/365</f>
        <v/>
      </c>
      <c r="F21" s="22">
        <f>-F8*Assumptions!$C$18/365</f>
        <v/>
      </c>
    </row>
    <row r="22">
      <c r="B22" s="21" t="inlineStr">
        <is>
          <t>Property, plant &amp; equipment (net)</t>
        </is>
      </c>
      <c r="C22" s="22">
        <f>Assumptions!$C$23</f>
        <v/>
      </c>
      <c r="D22" s="22">
        <f>C22+D39*-1+D12</f>
        <v/>
      </c>
      <c r="E22" s="22">
        <f>D22+E39*-1+E12</f>
        <v/>
      </c>
      <c r="F22" s="22">
        <f>E22+F39*-1+F12</f>
        <v/>
      </c>
    </row>
    <row r="23">
      <c r="B23" s="23" t="inlineStr">
        <is>
          <t>Total assets</t>
        </is>
      </c>
      <c r="C23" s="24">
        <f>C19+C20+C21+C22</f>
        <v/>
      </c>
      <c r="D23" s="24">
        <f>D19+D20+D21+D22</f>
        <v/>
      </c>
      <c r="E23" s="24">
        <f>E19+E20+E21+E22</f>
        <v/>
      </c>
      <c r="F23" s="24">
        <f>F19+F20+F21+F22</f>
        <v/>
      </c>
    </row>
    <row r="24">
      <c r="B24" s="21" t="inlineStr">
        <is>
          <t>Accounts payable</t>
        </is>
      </c>
      <c r="C24" s="22">
        <f>-C8*Assumptions!$C$19/365</f>
        <v/>
      </c>
      <c r="D24" s="22">
        <f>-D8*Assumptions!$C$19/365</f>
        <v/>
      </c>
      <c r="E24" s="22">
        <f>-E8*Assumptions!$C$19/365</f>
        <v/>
      </c>
      <c r="F24" s="22">
        <f>-F8*Assumptions!$C$19/365</f>
        <v/>
      </c>
    </row>
    <row r="25">
      <c r="B25" s="21" t="inlineStr">
        <is>
          <t>Debt</t>
        </is>
      </c>
      <c r="C25" s="22">
        <f>Assumptions!$C$24</f>
        <v/>
      </c>
      <c r="D25" s="22">
        <f>Assumptions!$C$24</f>
        <v/>
      </c>
      <c r="E25" s="22">
        <f>Assumptions!$C$24</f>
        <v/>
      </c>
      <c r="F25" s="22">
        <f>Assumptions!$C$24</f>
        <v/>
      </c>
    </row>
    <row r="26">
      <c r="B26" s="23" t="inlineStr">
        <is>
          <t>Total liabilities</t>
        </is>
      </c>
      <c r="C26" s="24">
        <f>C24+C25</f>
        <v/>
      </c>
      <c r="D26" s="24">
        <f>D24+D25</f>
        <v/>
      </c>
      <c r="E26" s="24">
        <f>E24+E25</f>
        <v/>
      </c>
      <c r="F26" s="24">
        <f>F24+F25</f>
        <v/>
      </c>
    </row>
    <row r="27">
      <c r="B27" s="21" t="inlineStr">
        <is>
          <t>Share capital</t>
        </is>
      </c>
      <c r="C27" s="22">
        <f>Assumptions!$C$25</f>
        <v/>
      </c>
      <c r="D27" s="22">
        <f>Assumptions!$C$25</f>
        <v/>
      </c>
      <c r="E27" s="22">
        <f>Assumptions!$C$25</f>
        <v/>
      </c>
      <c r="F27" s="22">
        <f>Assumptions!$C$25</f>
        <v/>
      </c>
    </row>
    <row r="28">
      <c r="B28" s="21" t="inlineStr">
        <is>
          <t>Retained earnings</t>
        </is>
      </c>
      <c r="C28" s="22">
        <f>C23-C26-C27</f>
        <v/>
      </c>
      <c r="D28" s="22">
        <f>C28+D17+D41</f>
        <v/>
      </c>
      <c r="E28" s="22">
        <f>D28+E17+E41</f>
        <v/>
      </c>
      <c r="F28" s="22">
        <f>E28+F17+F41</f>
        <v/>
      </c>
    </row>
    <row r="29">
      <c r="B29" s="23" t="inlineStr">
        <is>
          <t>Total equity</t>
        </is>
      </c>
      <c r="C29" s="24">
        <f>C27+C28</f>
        <v/>
      </c>
      <c r="D29" s="24">
        <f>D27+D28</f>
        <v/>
      </c>
      <c r="E29" s="24">
        <f>E27+E28</f>
        <v/>
      </c>
      <c r="F29" s="24">
        <f>F27+F28</f>
        <v/>
      </c>
    </row>
    <row r="30">
      <c r="B30" s="23" t="inlineStr">
        <is>
          <t>Total liabilities &amp; equity</t>
        </is>
      </c>
      <c r="C30" s="24">
        <f>C26+C29</f>
        <v/>
      </c>
      <c r="D30" s="24">
        <f>D26+D29</f>
        <v/>
      </c>
      <c r="E30" s="24">
        <f>E26+E29</f>
        <v/>
      </c>
      <c r="F30" s="24">
        <f>F26+F29</f>
        <v/>
      </c>
    </row>
    <row r="31">
      <c r="B31" s="25" t="inlineStr">
        <is>
          <t>Balance check (must be 0)</t>
        </is>
      </c>
      <c r="C31" s="26">
        <f>C23-C30</f>
        <v/>
      </c>
      <c r="D31" s="26">
        <f>D23-D30</f>
        <v/>
      </c>
      <c r="E31" s="26">
        <f>E23-E30</f>
        <v/>
      </c>
      <c r="F31" s="26">
        <f>F23-F30</f>
        <v/>
      </c>
    </row>
    <row r="32">
      <c r="B32" s="19" t="inlineStr">
        <is>
          <t>CASH FLOW (indirect)</t>
        </is>
      </c>
      <c r="C32" s="20" t="n"/>
      <c r="D32" s="20" t="n"/>
      <c r="E32" s="20" t="n"/>
      <c r="F32" s="20" t="n"/>
    </row>
    <row r="33">
      <c r="B33" s="21" t="inlineStr">
        <is>
          <t>Net income</t>
        </is>
      </c>
      <c r="C33" s="27" t="inlineStr">
        <is>
          <t>n/a</t>
        </is>
      </c>
      <c r="D33" s="28">
        <f>D17</f>
        <v/>
      </c>
      <c r="E33" s="28">
        <f>E17</f>
        <v/>
      </c>
      <c r="F33" s="28">
        <f>F17</f>
        <v/>
      </c>
    </row>
    <row r="34">
      <c r="B34" s="21" t="inlineStr">
        <is>
          <t>Add back: depreciation</t>
        </is>
      </c>
      <c r="C34" s="27" t="inlineStr">
        <is>
          <t>n/a</t>
        </is>
      </c>
      <c r="D34" s="28">
        <f>-D12</f>
        <v/>
      </c>
      <c r="E34" s="28">
        <f>-E12</f>
        <v/>
      </c>
      <c r="F34" s="28">
        <f>-F12</f>
        <v/>
      </c>
    </row>
    <row r="35">
      <c r="B35" s="21" t="inlineStr">
        <is>
          <t>Change in receivables</t>
        </is>
      </c>
      <c r="C35" s="27" t="inlineStr">
        <is>
          <t>n/a</t>
        </is>
      </c>
      <c r="D35" s="28">
        <f>-(D20-C20)</f>
        <v/>
      </c>
      <c r="E35" s="28">
        <f>-(E20-D20)</f>
        <v/>
      </c>
      <c r="F35" s="28">
        <f>-(F20-E20)</f>
        <v/>
      </c>
    </row>
    <row r="36">
      <c r="B36" s="21" t="inlineStr">
        <is>
          <t>Change in inventory</t>
        </is>
      </c>
      <c r="C36" s="27" t="inlineStr">
        <is>
          <t>n/a</t>
        </is>
      </c>
      <c r="D36" s="28">
        <f>-(D21-C21)</f>
        <v/>
      </c>
      <c r="E36" s="28">
        <f>-(E21-D21)</f>
        <v/>
      </c>
      <c r="F36" s="28">
        <f>-(F21-E21)</f>
        <v/>
      </c>
    </row>
    <row r="37">
      <c r="B37" s="21" t="inlineStr">
        <is>
          <t>Change in payables</t>
        </is>
      </c>
      <c r="C37" s="27" t="inlineStr">
        <is>
          <t>n/a</t>
        </is>
      </c>
      <c r="D37" s="28">
        <f>D24-C24</f>
        <v/>
      </c>
      <c r="E37" s="28">
        <f>E24-D24</f>
        <v/>
      </c>
      <c r="F37" s="28">
        <f>F24-E24</f>
        <v/>
      </c>
    </row>
    <row r="38">
      <c r="B38" s="23" t="inlineStr">
        <is>
          <t>Cash from operations</t>
        </is>
      </c>
      <c r="C38" s="29" t="inlineStr">
        <is>
          <t>n/a</t>
        </is>
      </c>
      <c r="D38" s="24">
        <f>SUM(D33:D37)</f>
        <v/>
      </c>
      <c r="E38" s="24">
        <f>SUM(E33:E37)</f>
        <v/>
      </c>
      <c r="F38" s="24">
        <f>SUM(F33:F37)</f>
        <v/>
      </c>
    </row>
    <row r="39">
      <c r="B39" s="21" t="inlineStr">
        <is>
          <t>Capital expenditure</t>
        </is>
      </c>
      <c r="C39" s="27" t="inlineStr">
        <is>
          <t>n/a</t>
        </is>
      </c>
      <c r="D39" s="28">
        <f>-D7*Assumptions!$C$13</f>
        <v/>
      </c>
      <c r="E39" s="28">
        <f>-E7*Assumptions!$C$13</f>
        <v/>
      </c>
      <c r="F39" s="28">
        <f>-F7*Assumptions!$C$13</f>
        <v/>
      </c>
    </row>
    <row r="40">
      <c r="B40" s="23" t="inlineStr">
        <is>
          <t>Cash from investing</t>
        </is>
      </c>
      <c r="C40" s="29" t="inlineStr">
        <is>
          <t>n/a</t>
        </is>
      </c>
      <c r="D40" s="24">
        <f>D39</f>
        <v/>
      </c>
      <c r="E40" s="24">
        <f>E39</f>
        <v/>
      </c>
      <c r="F40" s="24">
        <f>F39</f>
        <v/>
      </c>
    </row>
    <row r="41">
      <c r="B41" s="21" t="inlineStr">
        <is>
          <t>Dividends paid</t>
        </is>
      </c>
      <c r="C41" s="27" t="inlineStr">
        <is>
          <t>n/a</t>
        </is>
      </c>
      <c r="D41" s="28">
        <f>-D17*Assumptions!$C$16</f>
        <v/>
      </c>
      <c r="E41" s="28">
        <f>-E17*Assumptions!$C$16</f>
        <v/>
      </c>
      <c r="F41" s="28">
        <f>-F17*Assumptions!$C$16</f>
        <v/>
      </c>
    </row>
    <row r="42">
      <c r="B42" s="21" t="inlineStr">
        <is>
          <t>Change in debt</t>
        </is>
      </c>
      <c r="C42" s="27" t="inlineStr">
        <is>
          <t>n/a</t>
        </is>
      </c>
      <c r="D42" s="28">
        <f>D25-C25</f>
        <v/>
      </c>
      <c r="E42" s="28">
        <f>E25-D25</f>
        <v/>
      </c>
      <c r="F42" s="28">
        <f>F25-E25</f>
        <v/>
      </c>
    </row>
    <row r="43">
      <c r="B43" s="23" t="inlineStr">
        <is>
          <t>Cash from financing</t>
        </is>
      </c>
      <c r="C43" s="29" t="inlineStr">
        <is>
          <t>n/a</t>
        </is>
      </c>
      <c r="D43" s="24">
        <f>D41+D42</f>
        <v/>
      </c>
      <c r="E43" s="24">
        <f>E41+E42</f>
        <v/>
      </c>
      <c r="F43" s="24">
        <f>F41+F42</f>
        <v/>
      </c>
    </row>
    <row r="44">
      <c r="B44" s="23" t="inlineStr">
        <is>
          <t>Net change in cash</t>
        </is>
      </c>
      <c r="C44" s="29" t="inlineStr">
        <is>
          <t>n/a</t>
        </is>
      </c>
      <c r="D44" s="24">
        <f>D38+D40+D43</f>
        <v/>
      </c>
      <c r="E44" s="24">
        <f>E38+E40+E43</f>
        <v/>
      </c>
      <c r="F44" s="24">
        <f>F38+F40+F43</f>
        <v/>
      </c>
    </row>
    <row r="45">
      <c r="B45" s="21" t="inlineStr">
        <is>
          <t>Opening cash</t>
        </is>
      </c>
      <c r="C45" s="27" t="inlineStr">
        <is>
          <t>n/a</t>
        </is>
      </c>
      <c r="D45" s="28">
        <f>C19</f>
        <v/>
      </c>
      <c r="E45" s="28">
        <f>D19</f>
        <v/>
      </c>
      <c r="F45" s="28">
        <f>E19</f>
        <v/>
      </c>
    </row>
    <row r="46">
      <c r="B46" s="23" t="inlineStr">
        <is>
          <t>Closing cash</t>
        </is>
      </c>
      <c r="C46" s="29" t="inlineStr">
        <is>
          <t>n/a</t>
        </is>
      </c>
      <c r="D46" s="24">
        <f>D45+D44</f>
        <v/>
      </c>
      <c r="E46" s="24">
        <f>E45+E44</f>
        <v/>
      </c>
      <c r="F46" s="24">
        <f>F45+F44</f>
        <v/>
      </c>
    </row>
    <row r="49" ht="20" customHeight="1">
      <c r="B49" s="11" t="inlineStr">
        <is>
          <t>Key insights (auto-generated)</t>
        </is>
      </c>
    </row>
    <row r="50" ht="26" customHeight="1">
      <c r="B50" s="30">
        <f>"Revenue grows from €"&amp;TEXT(C7,"#,##0")&amp;"k (FY2024) to €"&amp;TEXT(F7,"#,##0")&amp;"k (FY2027), with net income reaching €"&amp;TEXT(F17,"#,##0")&amp;"k."</f>
        <v/>
      </c>
    </row>
    <row r="51" ht="26" customHeight="1">
      <c r="B51" s="30">
        <f>"The model is fully integrated: the balance check is €"&amp;TEXT(F31,"0.00")&amp;"k in every year, so the three statements tie out."</f>
        <v/>
      </c>
    </row>
    <row r="52" ht="26" customHeight="1">
      <c r="B52" s="30">
        <f>"Cash builds to €"&amp;TEXT(F19,"#,##0")&amp;"k by FY2027 even after dividends, funded by operating cash flow of €"&amp;TEXT(F38,"#,##0")&amp;"k in the final year."</f>
        <v/>
      </c>
    </row>
    <row r="53" ht="26" customHeight="1">
      <c r="B53" s="30">
        <f>"Working capital scales with the business through fixed DSO / DIO / DPO days, so growth ties up cash predictably."</f>
        <v/>
      </c>
    </row>
  </sheetData>
  <mergeCells count="7">
    <mergeCell ref="B2:F2"/>
    <mergeCell ref="B3:F3"/>
    <mergeCell ref="B49:F49"/>
    <mergeCell ref="B50:F50"/>
    <mergeCell ref="B51:F51"/>
    <mergeCell ref="B52:F52"/>
    <mergeCell ref="B53:F53"/>
  </mergeCells>
  <conditionalFormatting sqref="C31:F31">
    <cfRule type="expression" priority="1" dxfId="0">
      <formula>ABS(C31)&lt;0.5</formula>
    </cfRule>
    <cfRule type="expression" priority="2" dxfId="1">
      <formula>ABS(C31)&gt;=0.5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2026-08-09T17:43:18Z</dcterms:created>
  <dcterms:modified xmlns:dcterms="http://purl.org/dc/terms/" xmlns:xsi="http://www.w3.org/2001/XMLSchema-instance" xsi:type="dcterms:W3CDTF">2026-08-09T17:43:18Z</dcterms:modified>
</cp:coreProperties>
</file>